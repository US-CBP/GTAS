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jertel/Interpol Watchlist/"/>
    </mc:Choice>
  </mc:AlternateContent>
  <xr:revisionPtr revIDLastSave="0" documentId="13_ncr:1_{F4B17060-D69A-1946-95B5-4C433F90072C}" xr6:coauthVersionLast="43" xr6:coauthVersionMax="43" xr10:uidLastSave="{00000000-0000-0000-0000-000000000000}"/>
  <bookViews>
    <workbookView xWindow="7580" yWindow="820" windowWidth="23000" windowHeight="8880" xr2:uid="{00000000-000D-0000-FFFF-FFFF00000000}"/>
  </bookViews>
  <sheets>
    <sheet name="watchListGenerato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1" l="1"/>
  <c r="G7" i="1" s="1"/>
  <c r="H7" i="1" s="1"/>
  <c r="B7" i="1"/>
  <c r="C7" i="1" s="1"/>
  <c r="D7" i="1" s="1"/>
  <c r="J7" i="1" l="1"/>
  <c r="K7" i="1" s="1"/>
  <c r="U7" i="1" s="1"/>
</calcChain>
</file>

<file path=xl/sharedStrings.xml><?xml version="1.0" encoding="utf-8"?>
<sst xmlns="http://schemas.openxmlformats.org/spreadsheetml/2006/main" count="24" uniqueCount="24">
  <si>
    <t>entity_id</t>
  </si>
  <si>
    <t>nationalities/0</t>
  </si>
  <si>
    <t>_links/self/href</t>
  </si>
  <si>
    <t>_links/images/href</t>
  </si>
  <si>
    <t>_links/thumbnail/href</t>
  </si>
  <si>
    <t>nationalities/1</t>
  </si>
  <si>
    <t>nationalities/2</t>
  </si>
  <si>
    <t>"doc.dob","pass.firstname","pass.lastname","Category"</t>
  </si>
  <si>
    <t>Category</t>
  </si>
  <si>
    <t>id</t>
  </si>
  <si>
    <t>lastName</t>
  </si>
  <si>
    <t>firstName</t>
  </si>
  <si>
    <t>noLastNameCheck</t>
  </si>
  <si>
    <t>specialCharacterRemovalStep1OnLastName</t>
  </si>
  <si>
    <t>noFirstNameCheck</t>
  </si>
  <si>
    <t>specialCharacterRemovalStep2OnLastName22</t>
  </si>
  <si>
    <t>specialCharacterRemovalStep2OnFirstName2</t>
  </si>
  <si>
    <t>specialCharacterRemovalStep1OnFirstName</t>
  </si>
  <si>
    <t>dateOfBirth</t>
  </si>
  <si>
    <t>dateOfBirthNullCheck</t>
  </si>
  <si>
    <t>dobFormatting</t>
  </si>
  <si>
    <t>jöhnathan</t>
  </si>
  <si>
    <t>smíth</t>
  </si>
  <si>
    <t>Look in "My Documents"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</si>
</sst>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m/d/yy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26"/>
      <name val="Calibri"/>
      <family val="2"/>
    </font>
    <font>
      <sz val="18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18" fillId="33" borderId="0" xfId="0" applyFont="1" applyFill="1"/>
    <xf numFmtId="0" fontId="18" fillId="34" borderId="0" xfId="0" applyFont="1" applyFill="1"/>
    <xf numFmtId="0" fontId="18" fillId="35" borderId="0" xfId="0" applyFont="1" applyFill="1"/>
    <xf numFmtId="0" fontId="20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3" fontId="18" fillId="35" borderId="0" xfId="0" applyNumberFormat="1" applyFont="1" applyFill="1" applyAlignment="1">
      <alignment horizontal="center"/>
    </xf>
    <xf numFmtId="167" fontId="0" fillId="0" borderId="0" xfId="0" applyNumberFormat="1"/>
    <xf numFmtId="167" fontId="18" fillId="35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">
    <dxf>
      <numFmt numFmtId="167" formatCode="m/d/yyyy;@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952500</xdr:colOff>
          <xdr:row>0</xdr:row>
          <xdr:rowOff>88900</xdr:rowOff>
        </xdr:from>
        <xdr:to>
          <xdr:col>20</xdr:col>
          <xdr:colOff>4493986</xdr:colOff>
          <xdr:row>2</xdr:row>
          <xdr:rowOff>125185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18C2FEEB-B45E-D14E-9F05-012D8F41A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Watchlist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U7" totalsRowShown="0">
  <autoFilter ref="A6:U7" xr:uid="{00000000-0009-0000-0100-000001000000}"/>
  <tableColumns count="21">
    <tableColumn id="1" xr3:uid="{00000000-0010-0000-0000-000001000000}" name="firstName"/>
    <tableColumn id="17" xr3:uid="{00000000-0010-0000-0000-000011000000}" name="specialCharacterRemovalStep1OnFirstName" dataDxfId="10">
      <calculatedColumnFormula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firstName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calculatedColumnFormula>
    </tableColumn>
    <tableColumn id="18" xr3:uid="{00000000-0010-0000-0000-000012000000}" name="specialCharacterRemovalStep2OnFirstName2" dataDxfId="9">
      <calculatedColumnFormula>SUBSTITUTE(SUBSTITUTE(SUBSTITUTE(SUBSTITUTE(SUBSTITUTE(SUBSTITUTE(SUBSTITUTE(SUBSTITUTE(SUBSTITUTE(SUBSTITUTE(SUBSTITUTE(SUBSTITUTE(SUBSTITUTE(Table1[[#This Row],[specialCharacterRemovalStep1OnFirstName]],"æ","ae"),"Ġ","g"),"Č","c"),"ě","e"),"ň","n"),"š","s"),"ě","e"),"ň","n"),"ž","z"),"ř","r"),"č","c"),"ġ","g"),"ö","o")</calculatedColumnFormula>
    </tableColumn>
    <tableColumn id="27" xr3:uid="{00000000-0010-0000-0000-00001B000000}" name="noFirstNameCheck" dataDxfId="8">
      <calculatedColumnFormula>IF(Table1[[#This Row],[specialCharacterRemovalStep2OnFirstName2]]="","NFN",Table1[[#This Row],[specialCharacterRemovalStep2OnFirstName2]])</calculatedColumnFormula>
    </tableColumn>
    <tableColumn id="5" xr3:uid="{00000000-0010-0000-0000-000005000000}" name="lastName" dataDxfId="7"/>
    <tableColumn id="19" xr3:uid="{00000000-0010-0000-0000-000013000000}" name="specialCharacterRemovalStep1OnLastName" dataDxfId="6">
      <calculatedColumnFormula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lastName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calculatedColumnFormula>
    </tableColumn>
    <tableColumn id="20" xr3:uid="{00000000-0010-0000-0000-000014000000}" name="specialCharacterRemovalStep2OnLastName22" dataDxfId="5">
      <calculatedColumnFormula>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Row],[specialCharacterRemovalStep1OnLastName]],"æ","ae"),"Ġ","g"),"Č","c"),"ě","e"),"ň","n"),"š","s"),"ě","e"),"ň","n"),"ž","z"),"ř","r"),"č","c"),"ġ","g"),"ö","o"),"."," "),"(",""),")",""),"Ã","A"),"‡","T"),"-"," "),"Ã","a"),"‘",""),"“",""),"@",""),",","")</calculatedColumnFormula>
    </tableColumn>
    <tableColumn id="26" xr3:uid="{00000000-0010-0000-0000-00001A000000}" name="noLastNameCheck" dataDxfId="4">
      <calculatedColumnFormula>IF(Table1[[#This Row],[specialCharacterRemovalStep2OnLastName22]]="","NLN",Table1[[#This Row],[specialCharacterRemovalStep2OnLastName22]])</calculatedColumnFormula>
    </tableColumn>
    <tableColumn id="2" xr3:uid="{00000000-0010-0000-0000-000002000000}" name="dateOfBirth" dataDxfId="0"/>
    <tableColumn id="12" xr3:uid="{00000000-0010-0000-0000-00000C000000}" name="dateOfBirthNullCheck" dataDxfId="12">
      <calculatedColumnFormula>IF(ISBLANK(Table1[[#This Row],[dateOfBirth]]),TODAY()-1,Table1[[#This Row],[dateOfBirth]])</calculatedColumnFormula>
    </tableColumn>
    <tableColumn id="13" xr3:uid="{00000000-0010-0000-0000-00000D000000}" name="dobFormatting" dataDxfId="3">
      <calculatedColumnFormula>TEXT(Table1[[#This Row],[dateOfBirthNullCheck]],"yyyy-mm-dd")</calculatedColumnFormula>
    </tableColumn>
    <tableColumn id="15" xr3:uid="{00000000-0010-0000-0000-00000F000000}" name="Category" dataDxfId="1"/>
    <tableColumn id="23" xr3:uid="{00000000-0010-0000-0000-000017000000}" name="id" dataDxfId="2"/>
    <tableColumn id="3" xr3:uid="{00000000-0010-0000-0000-000003000000}" name="entity_id"/>
    <tableColumn id="4" xr3:uid="{00000000-0010-0000-0000-000004000000}" name="nationalities/0"/>
    <tableColumn id="6" xr3:uid="{00000000-0010-0000-0000-000006000000}" name="_links/self/href"/>
    <tableColumn id="7" xr3:uid="{00000000-0010-0000-0000-000007000000}" name="_links/images/href"/>
    <tableColumn id="8" xr3:uid="{00000000-0010-0000-0000-000008000000}" name="_links/thumbnail/href"/>
    <tableColumn id="9" xr3:uid="{00000000-0010-0000-0000-000009000000}" name="nationalities/1"/>
    <tableColumn id="10" xr3:uid="{00000000-0010-0000-0000-00000A000000}" name="nationalities/2"/>
    <tableColumn id="11" xr3:uid="{00000000-0010-0000-0000-00000B000000}" name="&quot;doc.dob&quot;,&quot;pass.firstname&quot;,&quot;pass.lastname&quot;,&quot;Category&quot;" dataDxfId="11">
      <calculatedColumnFormula>CONCATENATE("""",TEXT(Table1[[#This Row],[dobFormatting]],"yyyy-mm-dd"),"""",",","""",Table1[[#This Row],[noFirstNameCheck]],"""",",","""",Table1[[#This Row],[noLastNameCheck]],"""",",","""",Table1[[#This Row],[Category]],"""")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U7"/>
  <sheetViews>
    <sheetView tabSelected="1" zoomScaleNormal="100" workbookViewId="0">
      <selection activeCell="W6" sqref="W6"/>
    </sheetView>
  </sheetViews>
  <sheetFormatPr baseColWidth="10" defaultColWidth="8.83203125" defaultRowHeight="15" x14ac:dyDescent="0.2"/>
  <cols>
    <col min="1" max="1" width="33" bestFit="1" customWidth="1"/>
    <col min="2" max="2" width="40.83203125" hidden="1" customWidth="1"/>
    <col min="3" max="3" width="41.83203125" hidden="1" customWidth="1"/>
    <col min="4" max="4" width="33" hidden="1" customWidth="1"/>
    <col min="5" max="5" width="33" bestFit="1" customWidth="1"/>
    <col min="6" max="6" width="40.33203125" hidden="1" customWidth="1"/>
    <col min="7" max="7" width="42.33203125" hidden="1" customWidth="1"/>
    <col min="8" max="8" width="33" hidden="1" customWidth="1"/>
    <col min="9" max="9" width="14" style="9" bestFit="1" customWidth="1"/>
    <col min="10" max="10" width="21.83203125" hidden="1" customWidth="1"/>
    <col min="11" max="11" width="16.6640625" hidden="1" customWidth="1"/>
    <col min="12" max="12" width="11.83203125" style="7" bestFit="1" customWidth="1"/>
    <col min="13" max="13" width="0" hidden="1" customWidth="1"/>
    <col min="14" max="14" width="11.83203125" hidden="1" customWidth="1"/>
    <col min="15" max="15" width="16.1640625" hidden="1" customWidth="1"/>
    <col min="16" max="16" width="16.83203125" hidden="1" customWidth="1"/>
    <col min="17" max="17" width="20" hidden="1" customWidth="1"/>
    <col min="18" max="18" width="22.33203125" hidden="1" customWidth="1"/>
    <col min="19" max="20" width="16.1640625" hidden="1" customWidth="1"/>
    <col min="21" max="21" width="71.33203125" bestFit="1" customWidth="1"/>
    <col min="23" max="23" width="6.1640625" bestFit="1" customWidth="1"/>
    <col min="28" max="28" width="47.6640625" customWidth="1"/>
    <col min="29" max="29" width="41.33203125" bestFit="1" customWidth="1"/>
    <col min="30" max="30" width="52.5" bestFit="1" customWidth="1"/>
    <col min="31" max="31" width="52.5" customWidth="1"/>
  </cols>
  <sheetData>
    <row r="4" spans="1:21" ht="24" x14ac:dyDescent="0.3">
      <c r="U4" s="6" t="s">
        <v>23</v>
      </c>
    </row>
    <row r="6" spans="1:21" x14ac:dyDescent="0.2">
      <c r="A6" s="5" t="s">
        <v>11</v>
      </c>
      <c r="B6" t="s">
        <v>17</v>
      </c>
      <c r="C6" t="s">
        <v>16</v>
      </c>
      <c r="D6" s="3" t="s">
        <v>14</v>
      </c>
      <c r="E6" s="5" t="s">
        <v>10</v>
      </c>
      <c r="F6" t="s">
        <v>13</v>
      </c>
      <c r="G6" t="s">
        <v>15</v>
      </c>
      <c r="H6" s="3" t="s">
        <v>12</v>
      </c>
      <c r="I6" s="10" t="s">
        <v>18</v>
      </c>
      <c r="J6" t="s">
        <v>19</v>
      </c>
      <c r="K6" s="3" t="s">
        <v>20</v>
      </c>
      <c r="L6" s="8" t="s">
        <v>8</v>
      </c>
      <c r="M6" t="s">
        <v>9</v>
      </c>
      <c r="N6" t="s">
        <v>0</v>
      </c>
      <c r="O6" t="s">
        <v>1</v>
      </c>
      <c r="P6" t="s">
        <v>2</v>
      </c>
      <c r="Q6" t="s">
        <v>3</v>
      </c>
      <c r="R6" t="s">
        <v>4</v>
      </c>
      <c r="S6" t="s">
        <v>5</v>
      </c>
      <c r="T6" t="s">
        <v>6</v>
      </c>
      <c r="U6" s="4" t="s">
        <v>7</v>
      </c>
    </row>
    <row r="7" spans="1:21" x14ac:dyDescent="0.2">
      <c r="A7" t="s">
        <v>21</v>
      </c>
      <c r="B7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firstName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johnathan</v>
      </c>
      <c r="C7" t="str">
        <f>SUBSTITUTE(SUBSTITUTE(SUBSTITUTE(SUBSTITUTE(SUBSTITUTE(SUBSTITUTE(SUBSTITUTE(SUBSTITUTE(SUBSTITUTE(SUBSTITUTE(SUBSTITUTE(SUBSTITUTE(SUBSTITUTE(Table1[[#This Row],[specialCharacterRemovalStep1OnFirstName]],"æ","ae"),"Ġ","g"),"Č","c"),"ě","e"),"ň","n"),"š","s"),"ě","e"),"ň","n"),"ž","z"),"ř","r"),"č","c"),"ġ","g"),"ö","o")</f>
        <v>johnathan</v>
      </c>
      <c r="D7" t="str">
        <f>IF(Table1[[#This Row],[specialCharacterRemovalStep2OnFirstName2]]="","NFN",Table1[[#This Row],[specialCharacterRemovalStep2OnFirstName2]])</f>
        <v>johnathan</v>
      </c>
      <c r="E7" t="s">
        <v>22</v>
      </c>
      <c r="F7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lastName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smith</v>
      </c>
      <c r="G7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Row],[specialCharacterRemovalStep1OnLastName]],"æ","ae"),"Ġ","g"),"Č","c"),"ě","e"),"ň","n"),"š","s"),"ě","e"),"ň","n"),"ž","z"),"ř","r"),"č","c"),"ġ","g"),"ö","o"),"."," "),"(",""),")",""),"Ã","A"),"‡","T"),"-"," "),"Ã","a"),"‘",""),"“",""),"@",""),",","")</f>
        <v>smith</v>
      </c>
      <c r="H7" s="2" t="str">
        <f>IF(Table1[[#This Row],[specialCharacterRemovalStep2OnLastName22]]="","NLN",Table1[[#This Row],[specialCharacterRemovalStep2OnLastName22]])</f>
        <v>smith</v>
      </c>
      <c r="I7" s="9">
        <v>19393</v>
      </c>
      <c r="J7" s="1">
        <f ca="1">IF(ISBLANK(Table1[[#This Row],[dateOfBirth]]),TODAY()-1,Table1[[#This Row],[dateOfBirth]])</f>
        <v>19393</v>
      </c>
      <c r="K7" s="1" t="str">
        <f ca="1">TEXT(Table1[[#This Row],[dateOfBirthNullCheck]],"yyyy-mm-dd")</f>
        <v>1953-02-03</v>
      </c>
      <c r="L7" s="7">
        <v>5</v>
      </c>
      <c r="M7" s="2"/>
      <c r="U7" t="str">
        <f ca="1">CONCATENATE("""",TEXT(Table1[[#This Row],[dobFormatting]],"yyyy-mm-dd"),"""",",","""",Table1[[#This Row],[noFirstNameCheck]],"""",",","""",Table1[[#This Row],[noLastNameCheck]],"""",",","""",Table1[[#This Row],[Category]],"""")</f>
        <v>"1953-02-03","johnathan","smith","5"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createInterpolWatchlist">
                <anchor moveWithCells="1" sizeWithCells="1">
                  <from>
                    <xdr:col>20</xdr:col>
                    <xdr:colOff>952500</xdr:colOff>
                    <xdr:row>0</xdr:row>
                    <xdr:rowOff>88900</xdr:rowOff>
                  </from>
                  <to>
                    <xdr:col>20</xdr:col>
                    <xdr:colOff>4495800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watchListGenerator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ERTEL, DAVID J (CTR)</dc:creator>
  <cp:lastModifiedBy>David Ertel</cp:lastModifiedBy>
  <dcterms:created xsi:type="dcterms:W3CDTF">2019-05-09T03:08:28Z</dcterms:created>
  <dcterms:modified xsi:type="dcterms:W3CDTF">2019-08-27T17:44:15Z</dcterms:modified>
</cp:coreProperties>
</file>