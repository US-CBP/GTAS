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11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https://cbpgov-my.sharepoint.com/personal/0276500997_cbp_dhs_gov/Documents/"/>
    </mc:Choice>
  </mc:AlternateContent>
  <bookViews>
    <workbookView xWindow="0" yWindow="0" windowWidth="19980" windowHeight="9168"/>
  </bookViews>
  <sheets>
    <sheet name="Home" sheetId="117" r:id="rId1"/>
    <sheet name="ManifestGenerator " sheetId="66" r:id="rId2"/>
    <sheet name="Model Flights" sheetId="46" r:id="rId3"/>
    <sheet name="configSettings" sheetId="118" r:id="rId4"/>
    <sheet name="gmtOffsets" sheetId="95" r:id="rId5"/>
    <sheet name="carrierCodes" sheetId="121" r:id="rId6"/>
    <sheet name="PNR_PassengerData" sheetId="42" r:id="rId7"/>
    <sheet name="ReferenceTable_Airport_Country" sheetId="41" r:id="rId8"/>
    <sheet name="ReferenceTable_APISmessageType" sheetId="29" r:id="rId9"/>
    <sheet name="ReferenceTable_APISpaxType" sheetId="71" r:id="rId10"/>
    <sheet name="ReferenceTable_TSCQ" sheetId="72" r:id="rId11"/>
    <sheet name="UNAcodesets" sheetId="120" r:id="rId12"/>
    <sheet name="unbSegments" sheetId="94" r:id="rId13"/>
  </sheets>
  <functionGroups builtInGroupCount="18"/>
  <calcPr calcId="162913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6" i="117" l="1"/>
  <c r="C75" i="117"/>
  <c r="C115" i="117"/>
  <c r="D3" i="42" l="1"/>
  <c r="D4" i="42"/>
  <c r="D5" i="42"/>
  <c r="D6" i="42"/>
  <c r="D7" i="42"/>
  <c r="D8" i="42"/>
  <c r="D9" i="42"/>
  <c r="D10" i="42"/>
  <c r="D11" i="42"/>
  <c r="AU4" i="42" l="1"/>
  <c r="AY4" i="42"/>
  <c r="AY5" i="42"/>
  <c r="AU5" i="42"/>
  <c r="AU6" i="42"/>
  <c r="AU8" i="42"/>
  <c r="AY8" i="42"/>
  <c r="AY11" i="42"/>
  <c r="AU11" i="42"/>
  <c r="AU9" i="42"/>
  <c r="AY9" i="42"/>
  <c r="AU10" i="42"/>
  <c r="AY10" i="42"/>
  <c r="AU7" i="42"/>
  <c r="AY7" i="42"/>
  <c r="AY6" i="42"/>
  <c r="AU3" i="42"/>
  <c r="AY3" i="42"/>
  <c r="B207" i="95" l="1"/>
  <c r="B208" i="95"/>
  <c r="B209" i="95"/>
  <c r="B210" i="95"/>
  <c r="B211" i="95"/>
  <c r="B212" i="95"/>
  <c r="B213" i="95"/>
  <c r="D207" i="95"/>
  <c r="D208" i="95"/>
  <c r="D209" i="95"/>
  <c r="D210" i="95"/>
  <c r="D211" i="95"/>
  <c r="D212" i="95"/>
  <c r="D213" i="95"/>
  <c r="E207" i="95"/>
  <c r="E208" i="95"/>
  <c r="E209" i="95"/>
  <c r="E210" i="95"/>
  <c r="E211" i="95"/>
  <c r="E212" i="95"/>
  <c r="E213" i="95"/>
  <c r="F207" i="95"/>
  <c r="F208" i="95"/>
  <c r="F209" i="95"/>
  <c r="G209" i="95" s="1"/>
  <c r="F210" i="95"/>
  <c r="F211" i="95"/>
  <c r="G211" i="95" s="1"/>
  <c r="F212" i="95"/>
  <c r="G212" i="95" s="1"/>
  <c r="F213" i="95"/>
  <c r="G213" i="95" s="1"/>
  <c r="I207" i="95"/>
  <c r="I208" i="95"/>
  <c r="I209" i="95"/>
  <c r="I210" i="95"/>
  <c r="I211" i="95"/>
  <c r="I212" i="95"/>
  <c r="I213" i="95"/>
  <c r="AC4" i="46"/>
  <c r="AB4" i="46"/>
  <c r="G210" i="95" l="1"/>
  <c r="G208" i="95"/>
  <c r="G207" i="95"/>
  <c r="S4" i="46" l="1"/>
  <c r="R4" i="46"/>
  <c r="B206" i="95" l="1"/>
  <c r="D206" i="95"/>
  <c r="E206" i="95"/>
  <c r="F206" i="95"/>
  <c r="I206" i="95"/>
  <c r="G206" i="95" l="1"/>
  <c r="B205" i="95" l="1"/>
  <c r="D205" i="95"/>
  <c r="E205" i="95"/>
  <c r="F205" i="95"/>
  <c r="I205" i="95"/>
  <c r="B204" i="95"/>
  <c r="D204" i="95"/>
  <c r="E204" i="95"/>
  <c r="F204" i="95"/>
  <c r="I204" i="95"/>
  <c r="B203" i="95"/>
  <c r="D203" i="95"/>
  <c r="E203" i="95"/>
  <c r="F203" i="95"/>
  <c r="I203" i="95"/>
  <c r="G205" i="95" l="1"/>
  <c r="G204" i="95"/>
  <c r="G203" i="95"/>
  <c r="W5" i="66" l="1"/>
  <c r="W6" i="66"/>
  <c r="W7" i="66"/>
  <c r="W8" i="66"/>
  <c r="W9" i="66"/>
  <c r="W10" i="66"/>
  <c r="W11" i="66"/>
  <c r="B202" i="95"/>
  <c r="D202" i="95"/>
  <c r="E202" i="95"/>
  <c r="F202" i="95"/>
  <c r="I202" i="95"/>
  <c r="G202" i="95" l="1"/>
  <c r="W3" i="66" l="1"/>
  <c r="W4" i="66"/>
  <c r="C134" i="117" l="1"/>
  <c r="C52" i="117" l="1"/>
  <c r="C14" i="117" l="1"/>
  <c r="C131" i="117" l="1"/>
  <c r="C114" i="117"/>
  <c r="C113" i="117"/>
  <c r="C67" i="117"/>
  <c r="C69" i="117"/>
  <c r="C72" i="117" s="1"/>
  <c r="C66" i="117"/>
  <c r="D3" i="120"/>
  <c r="D2" i="120"/>
  <c r="C97" i="117" s="1"/>
  <c r="C47" i="117"/>
  <c r="B3" i="118" s="1"/>
  <c r="C61" i="117"/>
  <c r="C59" i="117"/>
  <c r="C57" i="117"/>
  <c r="AP3" i="42" l="1"/>
  <c r="AP10" i="42"/>
  <c r="AP6" i="42"/>
  <c r="AP8" i="42"/>
  <c r="AP7" i="42"/>
  <c r="AP11" i="42"/>
  <c r="AP4" i="42"/>
  <c r="AP5" i="42"/>
  <c r="AP9" i="42"/>
  <c r="C58" i="117"/>
  <c r="C60" i="117"/>
  <c r="C65" i="117"/>
  <c r="C100" i="117" s="1"/>
  <c r="B2" i="118"/>
  <c r="C119" i="117"/>
  <c r="C129" i="117"/>
  <c r="C132" i="117" s="1"/>
  <c r="C126" i="117" s="1"/>
  <c r="C117" i="117"/>
  <c r="C118" i="117"/>
  <c r="C120" i="117"/>
  <c r="AP2" i="42"/>
  <c r="C68" i="117"/>
  <c r="W2" i="66"/>
  <c r="V8" i="42" l="1"/>
  <c r="AJ8" i="42" s="1"/>
  <c r="V9" i="42"/>
  <c r="AJ9" i="42" s="1"/>
  <c r="V11" i="42"/>
  <c r="AJ11" i="42" s="1"/>
  <c r="V2" i="42"/>
  <c r="AJ2" i="42" s="1"/>
  <c r="V10" i="42"/>
  <c r="AJ10" i="42" s="1"/>
  <c r="V3" i="42"/>
  <c r="AJ3" i="42" s="1"/>
  <c r="V6" i="42"/>
  <c r="AJ6" i="42" s="1"/>
  <c r="V4" i="42"/>
  <c r="AJ4" i="42" s="1"/>
  <c r="V5" i="42"/>
  <c r="AJ5" i="42" s="1"/>
  <c r="V7" i="42"/>
  <c r="AJ7" i="42" s="1"/>
  <c r="I7" i="42"/>
  <c r="Y7" i="42" s="1"/>
  <c r="I3" i="42"/>
  <c r="Y3" i="42" s="1"/>
  <c r="I10" i="42"/>
  <c r="Y10" i="42" s="1"/>
  <c r="I4" i="42"/>
  <c r="Y4" i="42" s="1"/>
  <c r="I5" i="42"/>
  <c r="Y5" i="42" s="1"/>
  <c r="I8" i="42"/>
  <c r="Y8" i="42" s="1"/>
  <c r="I11" i="42"/>
  <c r="Y11" i="42" s="1"/>
  <c r="I6" i="42"/>
  <c r="Y6" i="42" s="1"/>
  <c r="I9" i="42"/>
  <c r="Y9" i="42" s="1"/>
  <c r="R4" i="42"/>
  <c r="K4" i="42"/>
  <c r="E9" i="42"/>
  <c r="BA4" i="42"/>
  <c r="BA11" i="42"/>
  <c r="H9" i="42"/>
  <c r="BA5" i="42"/>
  <c r="K5" i="42"/>
  <c r="P9" i="42"/>
  <c r="AF9" i="42" s="1"/>
  <c r="L9" i="42"/>
  <c r="P6" i="42"/>
  <c r="AF6" i="42" s="1"/>
  <c r="J6" i="42"/>
  <c r="X6" i="42" s="1"/>
  <c r="J5" i="42"/>
  <c r="X5" i="42" s="1"/>
  <c r="K10" i="42"/>
  <c r="P10" i="42"/>
  <c r="AF10" i="42" s="1"/>
  <c r="F9" i="42"/>
  <c r="K9" i="42"/>
  <c r="M8" i="42"/>
  <c r="AE8" i="42" s="1"/>
  <c r="AR8" i="42"/>
  <c r="AT8" i="42" s="1"/>
  <c r="Q10" i="42"/>
  <c r="AH10" i="42" s="1"/>
  <c r="G6" i="42"/>
  <c r="L3" i="42"/>
  <c r="BA3" i="42"/>
  <c r="N3" i="42"/>
  <c r="S3" i="42"/>
  <c r="AG3" i="42" s="1"/>
  <c r="M4" i="42"/>
  <c r="AE4" i="42" s="1"/>
  <c r="H8" i="42"/>
  <c r="R3" i="42"/>
  <c r="G10" i="42"/>
  <c r="P4" i="42"/>
  <c r="AF4" i="42" s="1"/>
  <c r="T4" i="42"/>
  <c r="Z4" i="42" s="1"/>
  <c r="T11" i="42"/>
  <c r="Z11" i="42" s="1"/>
  <c r="E7" i="42"/>
  <c r="S5" i="42"/>
  <c r="AG5" i="42" s="1"/>
  <c r="T8" i="42"/>
  <c r="Z8" i="42" s="1"/>
  <c r="T6" i="42"/>
  <c r="Z6" i="42" s="1"/>
  <c r="T3" i="42"/>
  <c r="Z3" i="42" s="1"/>
  <c r="L11" i="42"/>
  <c r="AR11" i="42"/>
  <c r="AT11" i="42" s="1"/>
  <c r="H10" i="42"/>
  <c r="AQ11" i="42"/>
  <c r="AS11" i="42" s="1"/>
  <c r="J9" i="42"/>
  <c r="X9" i="42" s="1"/>
  <c r="O9" i="42"/>
  <c r="AD9" i="42" s="1"/>
  <c r="Q8" i="42"/>
  <c r="AH8" i="42" s="1"/>
  <c r="AN7" i="42"/>
  <c r="AO7" i="42" s="1"/>
  <c r="F8" i="42"/>
  <c r="AN4" i="42"/>
  <c r="AO4" i="42" s="1"/>
  <c r="H4" i="42"/>
  <c r="P7" i="42"/>
  <c r="AF7" i="42" s="1"/>
  <c r="H11" i="42"/>
  <c r="H5" i="42"/>
  <c r="U6" i="42"/>
  <c r="AA6" i="42" s="1"/>
  <c r="Q11" i="42"/>
  <c r="AH11" i="42" s="1"/>
  <c r="U5" i="42"/>
  <c r="AA5" i="42" s="1"/>
  <c r="T10" i="42"/>
  <c r="Z10" i="42" s="1"/>
  <c r="BA7" i="42"/>
  <c r="AN11" i="42"/>
  <c r="AO11" i="42" s="1"/>
  <c r="U9" i="42"/>
  <c r="AA9" i="42" s="1"/>
  <c r="R11" i="42"/>
  <c r="N9" i="42"/>
  <c r="S9" i="42"/>
  <c r="AG9" i="42" s="1"/>
  <c r="U8" i="42"/>
  <c r="AA8" i="42" s="1"/>
  <c r="N8" i="42"/>
  <c r="F10" i="42"/>
  <c r="J7" i="42"/>
  <c r="X7" i="42" s="1"/>
  <c r="O6" i="42"/>
  <c r="AD6" i="42" s="1"/>
  <c r="M7" i="42"/>
  <c r="AE7" i="42" s="1"/>
  <c r="Q7" i="42"/>
  <c r="AH7" i="42" s="1"/>
  <c r="AQ3" i="42"/>
  <c r="AS3" i="42" s="1"/>
  <c r="AN3" i="42"/>
  <c r="AO3" i="42" s="1"/>
  <c r="F11" i="42"/>
  <c r="P5" i="42"/>
  <c r="AF5" i="42" s="1"/>
  <c r="BA9" i="42"/>
  <c r="AR10" i="42"/>
  <c r="AT10" i="42" s="1"/>
  <c r="N11" i="42"/>
  <c r="S8" i="42"/>
  <c r="AG8" i="42" s="1"/>
  <c r="N7" i="42"/>
  <c r="H7" i="42"/>
  <c r="M3" i="42"/>
  <c r="AE3" i="42" s="1"/>
  <c r="AR3" i="42"/>
  <c r="AT3" i="42" s="1"/>
  <c r="J4" i="42"/>
  <c r="X4" i="42" s="1"/>
  <c r="G3" i="42"/>
  <c r="O3" i="42"/>
  <c r="AD3" i="42" s="1"/>
  <c r="F7" i="42"/>
  <c r="AR4" i="42"/>
  <c r="AT4" i="42" s="1"/>
  <c r="L4" i="42"/>
  <c r="P11" i="42"/>
  <c r="AF11" i="42" s="1"/>
  <c r="E11" i="42"/>
  <c r="M5" i="42"/>
  <c r="AE5" i="42" s="1"/>
  <c r="M9" i="42"/>
  <c r="AE9" i="42" s="1"/>
  <c r="R9" i="42"/>
  <c r="G8" i="42"/>
  <c r="J10" i="42"/>
  <c r="X10" i="42" s="1"/>
  <c r="S6" i="42"/>
  <c r="AG6" i="42" s="1"/>
  <c r="L7" i="42"/>
  <c r="AC7" i="42" s="1"/>
  <c r="Q6" i="42"/>
  <c r="AH6" i="42" s="1"/>
  <c r="F4" i="42"/>
  <c r="P3" i="42"/>
  <c r="AF3" i="42" s="1"/>
  <c r="Q4" i="42"/>
  <c r="AH4" i="42" s="1"/>
  <c r="S7" i="42"/>
  <c r="AG7" i="42" s="1"/>
  <c r="O4" i="42"/>
  <c r="AD4" i="42" s="1"/>
  <c r="Q9" i="42"/>
  <c r="AH9" i="42" s="1"/>
  <c r="U11" i="42"/>
  <c r="AA11" i="42" s="1"/>
  <c r="AR5" i="42"/>
  <c r="AT5" i="42" s="1"/>
  <c r="J8" i="42"/>
  <c r="X8" i="42" s="1"/>
  <c r="O8" i="42"/>
  <c r="AD8" i="42" s="1"/>
  <c r="E5" i="42"/>
  <c r="O7" i="42"/>
  <c r="AD7" i="42" s="1"/>
  <c r="S10" i="42"/>
  <c r="AG10" i="42" s="1"/>
  <c r="S11" i="42"/>
  <c r="AG11" i="42" s="1"/>
  <c r="J11" i="42"/>
  <c r="X11" i="42" s="1"/>
  <c r="AQ9" i="42"/>
  <c r="AS9" i="42" s="1"/>
  <c r="AN9" i="42"/>
  <c r="AO9" i="42" s="1"/>
  <c r="L8" i="42"/>
  <c r="AC8" i="42" s="1"/>
  <c r="BA8" i="42"/>
  <c r="N10" i="42"/>
  <c r="R7" i="42"/>
  <c r="G7" i="42"/>
  <c r="Q3" i="42"/>
  <c r="AH3" i="42" s="1"/>
  <c r="AN8" i="42"/>
  <c r="AO8" i="42" s="1"/>
  <c r="H6" i="42"/>
  <c r="E3" i="42"/>
  <c r="K7" i="42"/>
  <c r="S4" i="42"/>
  <c r="AG4" i="42" s="1"/>
  <c r="L10" i="42"/>
  <c r="AC10" i="42" s="1"/>
  <c r="O5" i="42"/>
  <c r="AD5" i="42" s="1"/>
  <c r="G5" i="42"/>
  <c r="N5" i="42"/>
  <c r="K8" i="42"/>
  <c r="T9" i="42"/>
  <c r="Z9" i="42" s="1"/>
  <c r="O11" i="42"/>
  <c r="AD11" i="42" s="1"/>
  <c r="AQ8" i="42"/>
  <c r="AS8" i="42" s="1"/>
  <c r="BA10" i="42"/>
  <c r="AR9" i="42"/>
  <c r="AT9" i="42" s="1"/>
  <c r="R8" i="42"/>
  <c r="E10" i="42"/>
  <c r="W10" i="42" s="1"/>
  <c r="R10" i="42"/>
  <c r="AQ7" i="42"/>
  <c r="AS7" i="42" s="1"/>
  <c r="AN6" i="42"/>
  <c r="AO6" i="42" s="1"/>
  <c r="R6" i="42"/>
  <c r="U3" i="42"/>
  <c r="AA3" i="42" s="1"/>
  <c r="M10" i="42"/>
  <c r="AE10" i="42" s="1"/>
  <c r="F6" i="42"/>
  <c r="U10" i="42"/>
  <c r="AA10" i="42" s="1"/>
  <c r="AQ4" i="42"/>
  <c r="AS4" i="42" s="1"/>
  <c r="E4" i="42"/>
  <c r="W4" i="42" s="1"/>
  <c r="G4" i="42"/>
  <c r="T7" i="42"/>
  <c r="Z7" i="42" s="1"/>
  <c r="T5" i="42"/>
  <c r="Z5" i="42" s="1"/>
  <c r="L5" i="42"/>
  <c r="AC5" i="42" s="1"/>
  <c r="F5" i="42"/>
  <c r="U7" i="42"/>
  <c r="AA7" i="42" s="1"/>
  <c r="N6" i="42"/>
  <c r="AQ5" i="42"/>
  <c r="AS5" i="42" s="1"/>
  <c r="AR7" i="42"/>
  <c r="AT7" i="42" s="1"/>
  <c r="K11" i="42"/>
  <c r="P8" i="42"/>
  <c r="AF8" i="42" s="1"/>
  <c r="AN10" i="42"/>
  <c r="AO10" i="42" s="1"/>
  <c r="E8" i="42"/>
  <c r="W8" i="42" s="1"/>
  <c r="AQ10" i="42"/>
  <c r="AS10" i="42" s="1"/>
  <c r="AR6" i="42"/>
  <c r="AT6" i="42" s="1"/>
  <c r="M6" i="42"/>
  <c r="AE6" i="42" s="1"/>
  <c r="L6" i="42"/>
  <c r="AC6" i="42" s="1"/>
  <c r="F3" i="42"/>
  <c r="K3" i="42"/>
  <c r="U4" i="42"/>
  <c r="AA4" i="42" s="1"/>
  <c r="N4" i="42"/>
  <c r="E6" i="42"/>
  <c r="W6" i="42" s="1"/>
  <c r="H3" i="42"/>
  <c r="M11" i="42"/>
  <c r="AE11" i="42" s="1"/>
  <c r="AN5" i="42"/>
  <c r="AO5" i="42" s="1"/>
  <c r="BA6" i="42"/>
  <c r="AQ6" i="42"/>
  <c r="AS6" i="42" s="1"/>
  <c r="R5" i="42"/>
  <c r="Q5" i="42"/>
  <c r="AH5" i="42" s="1"/>
  <c r="G11" i="42"/>
  <c r="O10" i="42"/>
  <c r="AD10" i="42" s="1"/>
  <c r="G9" i="42"/>
  <c r="J3" i="42"/>
  <c r="X3" i="42" s="1"/>
  <c r="K6" i="42"/>
  <c r="Y9" i="66"/>
  <c r="Y3" i="66"/>
  <c r="Y11" i="66"/>
  <c r="Y4" i="66"/>
  <c r="Y5" i="66"/>
  <c r="Y6" i="66"/>
  <c r="Y8" i="66"/>
  <c r="Y10" i="66"/>
  <c r="Y7" i="66"/>
  <c r="C17" i="117"/>
  <c r="Y2" i="66"/>
  <c r="AB3" i="42" l="1"/>
  <c r="AI3" i="42"/>
  <c r="AI6" i="42"/>
  <c r="AB6" i="42"/>
  <c r="AB11" i="42"/>
  <c r="AI11" i="42"/>
  <c r="AB7" i="42"/>
  <c r="AI7" i="42"/>
  <c r="W5" i="42"/>
  <c r="W9" i="42"/>
  <c r="W3" i="42"/>
  <c r="AC9" i="42"/>
  <c r="AB4" i="42"/>
  <c r="AI4" i="42"/>
  <c r="AI8" i="42"/>
  <c r="AB8" i="42"/>
  <c r="W7" i="42"/>
  <c r="AI9" i="42"/>
  <c r="AB9" i="42"/>
  <c r="W11" i="42"/>
  <c r="AB5" i="42"/>
  <c r="AI5" i="42"/>
  <c r="AC4" i="42"/>
  <c r="AC11" i="42"/>
  <c r="AC3" i="42"/>
  <c r="AB10" i="42"/>
  <c r="AI10" i="42"/>
  <c r="AK8" i="42"/>
  <c r="AK4" i="42"/>
  <c r="AK3" i="42"/>
  <c r="AK10" i="42"/>
  <c r="AK5" i="42"/>
  <c r="AK9" i="42"/>
  <c r="AK6" i="42"/>
  <c r="AK7" i="42"/>
  <c r="AK11" i="42"/>
  <c r="X2" i="66"/>
  <c r="Z2" i="66" s="1"/>
  <c r="C53" i="117"/>
  <c r="X8" i="66"/>
  <c r="X6" i="66"/>
  <c r="X5" i="66"/>
  <c r="X4" i="66"/>
  <c r="X11" i="66"/>
  <c r="X10" i="66"/>
  <c r="X3" i="66"/>
  <c r="X7" i="66"/>
  <c r="X9" i="66"/>
  <c r="BJ4" i="42" l="1"/>
  <c r="AW7" i="42"/>
  <c r="BB7" i="42" s="1"/>
  <c r="BJ8" i="42"/>
  <c r="AW8" i="42"/>
  <c r="BB8" i="42" s="1"/>
  <c r="BJ7" i="42"/>
  <c r="BJ6" i="42"/>
  <c r="AW6" i="42"/>
  <c r="BB6" i="42" s="1"/>
  <c r="AW4" i="42"/>
  <c r="BB4" i="42" s="1"/>
  <c r="AW10" i="42"/>
  <c r="BB10" i="42" s="1"/>
  <c r="BJ10" i="42"/>
  <c r="AW5" i="42"/>
  <c r="BB5" i="42" s="1"/>
  <c r="BJ5" i="42"/>
  <c r="BJ11" i="42"/>
  <c r="AW11" i="42"/>
  <c r="BB11" i="42" s="1"/>
  <c r="AW3" i="42"/>
  <c r="BB3" i="42" s="1"/>
  <c r="BJ3" i="42"/>
  <c r="AW9" i="42"/>
  <c r="BB9" i="42" s="1"/>
  <c r="BJ9" i="42"/>
  <c r="AA2" i="66"/>
  <c r="AB2" i="66"/>
  <c r="Z10" i="66"/>
  <c r="Z5" i="66"/>
  <c r="Z7" i="66"/>
  <c r="Z11" i="66"/>
  <c r="Z6" i="66"/>
  <c r="Z3" i="66"/>
  <c r="Z4" i="66"/>
  <c r="Z9" i="66"/>
  <c r="Z8" i="66"/>
  <c r="AA4" i="66" l="1"/>
  <c r="AB4" i="66"/>
  <c r="AA6" i="66"/>
  <c r="AB6" i="66"/>
  <c r="AA5" i="66"/>
  <c r="AB5" i="66"/>
  <c r="AB8" i="66"/>
  <c r="AA8" i="66"/>
  <c r="AA11" i="66"/>
  <c r="AB11" i="66"/>
  <c r="AA9" i="66"/>
  <c r="AB9" i="66"/>
  <c r="AA3" i="66"/>
  <c r="AB3" i="66"/>
  <c r="AA7" i="66"/>
  <c r="AB7" i="66"/>
  <c r="AA10" i="66"/>
  <c r="AB10" i="66"/>
  <c r="B189" i="95"/>
  <c r="B190" i="95"/>
  <c r="B191" i="95"/>
  <c r="B192" i="95"/>
  <c r="B193" i="95"/>
  <c r="B194" i="95"/>
  <c r="B195" i="95"/>
  <c r="B196" i="95"/>
  <c r="B197" i="95"/>
  <c r="B198" i="95"/>
  <c r="B199" i="95"/>
  <c r="B200" i="95"/>
  <c r="B201" i="95"/>
  <c r="D189" i="95"/>
  <c r="D190" i="95"/>
  <c r="D191" i="95"/>
  <c r="D192" i="95"/>
  <c r="D193" i="95"/>
  <c r="D194" i="95"/>
  <c r="D195" i="95"/>
  <c r="D196" i="95"/>
  <c r="D197" i="95"/>
  <c r="D198" i="95"/>
  <c r="D199" i="95"/>
  <c r="D200" i="95"/>
  <c r="D201" i="95"/>
  <c r="E189" i="95"/>
  <c r="E190" i="95"/>
  <c r="E191" i="95"/>
  <c r="E192" i="95"/>
  <c r="E193" i="95"/>
  <c r="E194" i="95"/>
  <c r="E195" i="95"/>
  <c r="E196" i="95"/>
  <c r="E197" i="95"/>
  <c r="E198" i="95"/>
  <c r="E199" i="95"/>
  <c r="E200" i="95"/>
  <c r="E201" i="95"/>
  <c r="F189" i="95"/>
  <c r="F190" i="95"/>
  <c r="F191" i="95"/>
  <c r="F192" i="95"/>
  <c r="F193" i="95"/>
  <c r="F194" i="95"/>
  <c r="G194" i="95" s="1"/>
  <c r="F195" i="95"/>
  <c r="F196" i="95"/>
  <c r="G196" i="95" s="1"/>
  <c r="F197" i="95"/>
  <c r="F198" i="95"/>
  <c r="F199" i="95"/>
  <c r="F200" i="95"/>
  <c r="F201" i="95"/>
  <c r="I191" i="95"/>
  <c r="I192" i="95"/>
  <c r="I195" i="95"/>
  <c r="I196" i="95"/>
  <c r="I198" i="95"/>
  <c r="I199" i="95"/>
  <c r="I200" i="95"/>
  <c r="I201" i="95"/>
  <c r="I189" i="95"/>
  <c r="I190" i="95"/>
  <c r="I193" i="95"/>
  <c r="I194" i="95"/>
  <c r="I197" i="95"/>
  <c r="G195" i="95" l="1"/>
  <c r="G191" i="95"/>
  <c r="G198" i="95"/>
  <c r="G190" i="95"/>
  <c r="G200" i="95"/>
  <c r="G192" i="95"/>
  <c r="G199" i="95"/>
  <c r="G193" i="95"/>
  <c r="G201" i="95"/>
  <c r="G197" i="95"/>
  <c r="G189" i="95"/>
  <c r="I2" i="95"/>
  <c r="I3" i="95"/>
  <c r="I4" i="95"/>
  <c r="I5" i="95"/>
  <c r="I6" i="95"/>
  <c r="I7" i="95"/>
  <c r="I8" i="95"/>
  <c r="I9" i="95"/>
  <c r="I10" i="95"/>
  <c r="I11" i="95"/>
  <c r="I12" i="95"/>
  <c r="I13" i="95"/>
  <c r="I14" i="95"/>
  <c r="I15" i="95"/>
  <c r="I16" i="95"/>
  <c r="I17" i="95"/>
  <c r="I18" i="95"/>
  <c r="I19" i="95"/>
  <c r="I20" i="95"/>
  <c r="I21" i="95"/>
  <c r="I22" i="95"/>
  <c r="I23" i="95"/>
  <c r="I24" i="95"/>
  <c r="I25" i="95"/>
  <c r="I26" i="95"/>
  <c r="I27" i="95"/>
  <c r="I28" i="95"/>
  <c r="I29" i="95"/>
  <c r="I30" i="95"/>
  <c r="I31" i="95"/>
  <c r="I32" i="95"/>
  <c r="I33" i="95"/>
  <c r="I34" i="95"/>
  <c r="I35" i="95"/>
  <c r="I36" i="95"/>
  <c r="I37" i="95"/>
  <c r="I38" i="95"/>
  <c r="I39" i="95"/>
  <c r="I40" i="95"/>
  <c r="I41" i="95"/>
  <c r="I42" i="95"/>
  <c r="I43" i="95"/>
  <c r="I44" i="95"/>
  <c r="I45" i="95"/>
  <c r="I46" i="95"/>
  <c r="I47" i="95"/>
  <c r="I48" i="95"/>
  <c r="I49" i="95"/>
  <c r="I50" i="95"/>
  <c r="I51" i="95"/>
  <c r="I52" i="95"/>
  <c r="I53" i="95"/>
  <c r="I54" i="95"/>
  <c r="I55" i="95"/>
  <c r="I56" i="95"/>
  <c r="I57" i="95"/>
  <c r="I58" i="95"/>
  <c r="I59" i="95"/>
  <c r="I60" i="95"/>
  <c r="I61" i="95"/>
  <c r="I62" i="95"/>
  <c r="I63" i="95"/>
  <c r="I64" i="95"/>
  <c r="I65" i="95"/>
  <c r="I66" i="95"/>
  <c r="I67" i="95"/>
  <c r="I68" i="95"/>
  <c r="I69" i="95"/>
  <c r="I70" i="95"/>
  <c r="I71" i="95"/>
  <c r="I72" i="95"/>
  <c r="I73" i="95"/>
  <c r="I74" i="95"/>
  <c r="I75" i="95"/>
  <c r="I76" i="95"/>
  <c r="I77" i="95"/>
  <c r="I78" i="95"/>
  <c r="I79" i="95"/>
  <c r="I80" i="95"/>
  <c r="I81" i="95"/>
  <c r="I82" i="95"/>
  <c r="I83" i="95"/>
  <c r="I84" i="95"/>
  <c r="I85" i="95"/>
  <c r="I86" i="95"/>
  <c r="I87" i="95"/>
  <c r="I88" i="95"/>
  <c r="I89" i="95"/>
  <c r="I90" i="95"/>
  <c r="I91" i="95"/>
  <c r="I92" i="95"/>
  <c r="I93" i="95"/>
  <c r="I94" i="95"/>
  <c r="I95" i="95"/>
  <c r="I96" i="95"/>
  <c r="I97" i="95"/>
  <c r="I98" i="95"/>
  <c r="I99" i="95"/>
  <c r="I100" i="95"/>
  <c r="I101" i="95"/>
  <c r="I102" i="95"/>
  <c r="I103" i="95"/>
  <c r="I104" i="95"/>
  <c r="I105" i="95"/>
  <c r="I106" i="95"/>
  <c r="I107" i="95"/>
  <c r="I108" i="95"/>
  <c r="I109" i="95"/>
  <c r="I110" i="95"/>
  <c r="I111" i="95"/>
  <c r="I112" i="95"/>
  <c r="I113" i="95"/>
  <c r="I114" i="95"/>
  <c r="I115" i="95"/>
  <c r="I116" i="95"/>
  <c r="I117" i="95"/>
  <c r="I118" i="95"/>
  <c r="I119" i="95"/>
  <c r="I120" i="95"/>
  <c r="I121" i="95"/>
  <c r="I122" i="95"/>
  <c r="I123" i="95"/>
  <c r="I124" i="95"/>
  <c r="I125" i="95"/>
  <c r="I126" i="95"/>
  <c r="I127" i="95"/>
  <c r="I128" i="95"/>
  <c r="I129" i="95"/>
  <c r="I130" i="95"/>
  <c r="I131" i="95"/>
  <c r="I132" i="95"/>
  <c r="I133" i="95"/>
  <c r="I134" i="95"/>
  <c r="I135" i="95"/>
  <c r="I136" i="95"/>
  <c r="I137" i="95"/>
  <c r="I138" i="95"/>
  <c r="I139" i="95"/>
  <c r="I140" i="95"/>
  <c r="I141" i="95"/>
  <c r="I142" i="95"/>
  <c r="I143" i="95"/>
  <c r="I144" i="95"/>
  <c r="I145" i="95"/>
  <c r="I146" i="95"/>
  <c r="I147" i="95"/>
  <c r="I148" i="95"/>
  <c r="I149" i="95"/>
  <c r="I150" i="95"/>
  <c r="I151" i="95"/>
  <c r="I152" i="95"/>
  <c r="I153" i="95"/>
  <c r="I154" i="95"/>
  <c r="I155" i="95"/>
  <c r="I156" i="95"/>
  <c r="I157" i="95"/>
  <c r="I158" i="95"/>
  <c r="I159" i="95"/>
  <c r="I160" i="95"/>
  <c r="I161" i="95"/>
  <c r="I162" i="95"/>
  <c r="I163" i="95"/>
  <c r="I164" i="95"/>
  <c r="I165" i="95"/>
  <c r="I166" i="95"/>
  <c r="I167" i="95"/>
  <c r="I168" i="95"/>
  <c r="I169" i="95"/>
  <c r="I170" i="95"/>
  <c r="I171" i="95"/>
  <c r="I172" i="95"/>
  <c r="I173" i="95"/>
  <c r="I174" i="95"/>
  <c r="I175" i="95"/>
  <c r="I176" i="95"/>
  <c r="I177" i="95"/>
  <c r="I178" i="95"/>
  <c r="I179" i="95"/>
  <c r="I180" i="95"/>
  <c r="I181" i="95"/>
  <c r="I182" i="95"/>
  <c r="I183" i="95"/>
  <c r="I184" i="95"/>
  <c r="I185" i="95"/>
  <c r="I186" i="95"/>
  <c r="I187" i="95"/>
  <c r="I188" i="95"/>
  <c r="E2" i="95"/>
  <c r="E3" i="95"/>
  <c r="E4" i="95"/>
  <c r="E5" i="95"/>
  <c r="E6" i="95"/>
  <c r="E7" i="95"/>
  <c r="E8" i="95"/>
  <c r="E9" i="95"/>
  <c r="E10" i="95"/>
  <c r="E11" i="95"/>
  <c r="E12" i="95"/>
  <c r="E13" i="95"/>
  <c r="E14" i="95"/>
  <c r="E15" i="95"/>
  <c r="E16" i="95"/>
  <c r="E17" i="95"/>
  <c r="E18" i="95"/>
  <c r="E19" i="95"/>
  <c r="E20" i="95"/>
  <c r="E21" i="95"/>
  <c r="E22" i="95"/>
  <c r="E23" i="95"/>
  <c r="E24" i="95"/>
  <c r="E25" i="95"/>
  <c r="E26" i="95"/>
  <c r="E27" i="95"/>
  <c r="E28" i="95"/>
  <c r="E29" i="95"/>
  <c r="E30" i="95"/>
  <c r="E31" i="95"/>
  <c r="E32" i="95"/>
  <c r="E33" i="95"/>
  <c r="E34" i="95"/>
  <c r="E35" i="95"/>
  <c r="E36" i="95"/>
  <c r="E37" i="95"/>
  <c r="E38" i="95"/>
  <c r="E39" i="95"/>
  <c r="E40" i="95"/>
  <c r="E41" i="95"/>
  <c r="E42" i="95"/>
  <c r="E43" i="95"/>
  <c r="E44" i="95"/>
  <c r="E45" i="95"/>
  <c r="E46" i="95"/>
  <c r="E47" i="95"/>
  <c r="E48" i="95"/>
  <c r="E49" i="95"/>
  <c r="E50" i="95"/>
  <c r="E51" i="95"/>
  <c r="E52" i="95"/>
  <c r="E53" i="95"/>
  <c r="E54" i="95"/>
  <c r="E55" i="95"/>
  <c r="E56" i="95"/>
  <c r="E57" i="95"/>
  <c r="E58" i="95"/>
  <c r="E59" i="95"/>
  <c r="E60" i="95"/>
  <c r="E61" i="95"/>
  <c r="E62" i="95"/>
  <c r="E63" i="95"/>
  <c r="E64" i="95"/>
  <c r="E65" i="95"/>
  <c r="E66" i="95"/>
  <c r="E67" i="95"/>
  <c r="E68" i="95"/>
  <c r="E69" i="95"/>
  <c r="E70" i="95"/>
  <c r="E71" i="95"/>
  <c r="E72" i="95"/>
  <c r="E73" i="95"/>
  <c r="E74" i="95"/>
  <c r="E75" i="95"/>
  <c r="E76" i="95"/>
  <c r="E77" i="95"/>
  <c r="E78" i="95"/>
  <c r="E79" i="95"/>
  <c r="E80" i="95"/>
  <c r="E81" i="95"/>
  <c r="E82" i="95"/>
  <c r="E83" i="95"/>
  <c r="E84" i="95"/>
  <c r="E85" i="95"/>
  <c r="E86" i="95"/>
  <c r="E87" i="95"/>
  <c r="E88" i="95"/>
  <c r="E89" i="95"/>
  <c r="E90" i="95"/>
  <c r="E91" i="95"/>
  <c r="E92" i="95"/>
  <c r="E93" i="95"/>
  <c r="E94" i="95"/>
  <c r="E95" i="95"/>
  <c r="E96" i="95"/>
  <c r="E97" i="95"/>
  <c r="E98" i="95"/>
  <c r="E99" i="95"/>
  <c r="E100" i="95"/>
  <c r="E101" i="95"/>
  <c r="E102" i="95"/>
  <c r="E103" i="95"/>
  <c r="E104" i="95"/>
  <c r="E105" i="95"/>
  <c r="E106" i="95"/>
  <c r="E107" i="95"/>
  <c r="E108" i="95"/>
  <c r="E109" i="95"/>
  <c r="E110" i="95"/>
  <c r="E111" i="95"/>
  <c r="E112" i="95"/>
  <c r="E113" i="95"/>
  <c r="E114" i="95"/>
  <c r="E115" i="95"/>
  <c r="E116" i="95"/>
  <c r="E117" i="95"/>
  <c r="E118" i="95"/>
  <c r="E119" i="95"/>
  <c r="E120" i="95"/>
  <c r="E121" i="95"/>
  <c r="E122" i="95"/>
  <c r="E123" i="95"/>
  <c r="E124" i="95"/>
  <c r="E125" i="95"/>
  <c r="E126" i="95"/>
  <c r="E127" i="95"/>
  <c r="E128" i="95"/>
  <c r="E129" i="95"/>
  <c r="E130" i="95"/>
  <c r="E131" i="95"/>
  <c r="E132" i="95"/>
  <c r="E133" i="95"/>
  <c r="E134" i="95"/>
  <c r="E135" i="95"/>
  <c r="E136" i="95"/>
  <c r="E137" i="95"/>
  <c r="E138" i="95"/>
  <c r="E139" i="95"/>
  <c r="E140" i="95"/>
  <c r="E141" i="95"/>
  <c r="E142" i="95"/>
  <c r="E143" i="95"/>
  <c r="E144" i="95"/>
  <c r="E145" i="95"/>
  <c r="E146" i="95"/>
  <c r="E147" i="95"/>
  <c r="E148" i="95"/>
  <c r="E149" i="95"/>
  <c r="E150" i="95"/>
  <c r="E151" i="95"/>
  <c r="E152" i="95"/>
  <c r="E153" i="95"/>
  <c r="E154" i="95"/>
  <c r="E155" i="95"/>
  <c r="E156" i="95"/>
  <c r="E157" i="95"/>
  <c r="E158" i="95"/>
  <c r="E159" i="95"/>
  <c r="E160" i="95"/>
  <c r="E161" i="95"/>
  <c r="E162" i="95"/>
  <c r="E163" i="95"/>
  <c r="E164" i="95"/>
  <c r="E165" i="95"/>
  <c r="E166" i="95"/>
  <c r="E167" i="95"/>
  <c r="E168" i="95"/>
  <c r="E169" i="95"/>
  <c r="E170" i="95"/>
  <c r="E171" i="95"/>
  <c r="E172" i="95"/>
  <c r="E173" i="95"/>
  <c r="E174" i="95"/>
  <c r="E175" i="95"/>
  <c r="E176" i="95"/>
  <c r="E177" i="95"/>
  <c r="E178" i="95"/>
  <c r="E179" i="95"/>
  <c r="E180" i="95"/>
  <c r="E181" i="95"/>
  <c r="E182" i="95"/>
  <c r="E183" i="95"/>
  <c r="E184" i="95"/>
  <c r="E185" i="95"/>
  <c r="E186" i="95"/>
  <c r="E187" i="95"/>
  <c r="E188" i="95"/>
  <c r="F2" i="95"/>
  <c r="F3" i="95"/>
  <c r="F4" i="95"/>
  <c r="F5" i="95"/>
  <c r="F6" i="95"/>
  <c r="F7" i="95"/>
  <c r="F8" i="95"/>
  <c r="F9" i="95"/>
  <c r="F10" i="95"/>
  <c r="F11" i="95"/>
  <c r="F12" i="95"/>
  <c r="F13" i="95"/>
  <c r="F14" i="95"/>
  <c r="F15" i="95"/>
  <c r="F16" i="95"/>
  <c r="F17" i="95"/>
  <c r="F18" i="95"/>
  <c r="F19" i="95"/>
  <c r="F20" i="95"/>
  <c r="F21" i="95"/>
  <c r="F22" i="95"/>
  <c r="F23" i="95"/>
  <c r="F24" i="95"/>
  <c r="F25" i="95"/>
  <c r="F26" i="95"/>
  <c r="F27" i="95"/>
  <c r="F28" i="95"/>
  <c r="F29" i="95"/>
  <c r="F30" i="95"/>
  <c r="F31" i="95"/>
  <c r="F32" i="95"/>
  <c r="F33" i="95"/>
  <c r="F34" i="95"/>
  <c r="F35" i="95"/>
  <c r="F36" i="95"/>
  <c r="F37" i="95"/>
  <c r="F38" i="95"/>
  <c r="F39" i="95"/>
  <c r="F40" i="95"/>
  <c r="F41" i="95"/>
  <c r="F42" i="95"/>
  <c r="F43" i="95"/>
  <c r="F44" i="95"/>
  <c r="F45" i="95"/>
  <c r="F46" i="95"/>
  <c r="F47" i="95"/>
  <c r="F48" i="95"/>
  <c r="F49" i="95"/>
  <c r="F50" i="95"/>
  <c r="F51" i="95"/>
  <c r="F52" i="95"/>
  <c r="F53" i="95"/>
  <c r="F54" i="95"/>
  <c r="F55" i="95"/>
  <c r="F56" i="95"/>
  <c r="F57" i="95"/>
  <c r="F58" i="95"/>
  <c r="F59" i="95"/>
  <c r="F60" i="95"/>
  <c r="F61" i="95"/>
  <c r="F62" i="95"/>
  <c r="F63" i="95"/>
  <c r="F64" i="95"/>
  <c r="F65" i="95"/>
  <c r="F66" i="95"/>
  <c r="F67" i="95"/>
  <c r="F68" i="95"/>
  <c r="F69" i="95"/>
  <c r="F70" i="95"/>
  <c r="F71" i="95"/>
  <c r="F72" i="95"/>
  <c r="F73" i="95"/>
  <c r="F74" i="95"/>
  <c r="F75" i="95"/>
  <c r="F76" i="95"/>
  <c r="F77" i="95"/>
  <c r="F78" i="95"/>
  <c r="F79" i="95"/>
  <c r="F80" i="95"/>
  <c r="F81" i="95"/>
  <c r="F82" i="95"/>
  <c r="F83" i="95"/>
  <c r="F84" i="95"/>
  <c r="F85" i="95"/>
  <c r="F86" i="95"/>
  <c r="F87" i="95"/>
  <c r="F88" i="95"/>
  <c r="F89" i="95"/>
  <c r="F90" i="95"/>
  <c r="F91" i="95"/>
  <c r="F92" i="95"/>
  <c r="F93" i="95"/>
  <c r="F94" i="95"/>
  <c r="F95" i="95"/>
  <c r="F96" i="95"/>
  <c r="F97" i="95"/>
  <c r="F98" i="95"/>
  <c r="F99" i="95"/>
  <c r="F100" i="95"/>
  <c r="F101" i="95"/>
  <c r="F102" i="95"/>
  <c r="F103" i="95"/>
  <c r="F104" i="95"/>
  <c r="F105" i="95"/>
  <c r="F106" i="95"/>
  <c r="F107" i="95"/>
  <c r="F108" i="95"/>
  <c r="F109" i="95"/>
  <c r="F110" i="95"/>
  <c r="F111" i="95"/>
  <c r="F112" i="95"/>
  <c r="F113" i="95"/>
  <c r="F114" i="95"/>
  <c r="F115" i="95"/>
  <c r="F116" i="95"/>
  <c r="F117" i="95"/>
  <c r="F118" i="95"/>
  <c r="F119" i="95"/>
  <c r="F120" i="95"/>
  <c r="F121" i="95"/>
  <c r="F122" i="95"/>
  <c r="F123" i="95"/>
  <c r="F124" i="95"/>
  <c r="F125" i="95"/>
  <c r="F126" i="95"/>
  <c r="F127" i="95"/>
  <c r="F128" i="95"/>
  <c r="F129" i="95"/>
  <c r="F130" i="95"/>
  <c r="F131" i="95"/>
  <c r="F132" i="95"/>
  <c r="F133" i="95"/>
  <c r="F134" i="95"/>
  <c r="F135" i="95"/>
  <c r="F136" i="95"/>
  <c r="F137" i="95"/>
  <c r="F138" i="95"/>
  <c r="F139" i="95"/>
  <c r="F140" i="95"/>
  <c r="F141" i="95"/>
  <c r="F142" i="95"/>
  <c r="F143" i="95"/>
  <c r="F144" i="95"/>
  <c r="F145" i="95"/>
  <c r="F146" i="95"/>
  <c r="F147" i="95"/>
  <c r="F148" i="95"/>
  <c r="F149" i="95"/>
  <c r="F150" i="95"/>
  <c r="F151" i="95"/>
  <c r="F152" i="95"/>
  <c r="F153" i="95"/>
  <c r="F154" i="95"/>
  <c r="F155" i="95"/>
  <c r="F156" i="95"/>
  <c r="F157" i="95"/>
  <c r="F158" i="95"/>
  <c r="F159" i="95"/>
  <c r="F160" i="95"/>
  <c r="F161" i="95"/>
  <c r="F162" i="95"/>
  <c r="F163" i="95"/>
  <c r="F164" i="95"/>
  <c r="F165" i="95"/>
  <c r="F166" i="95"/>
  <c r="F167" i="95"/>
  <c r="F168" i="95"/>
  <c r="F169" i="95"/>
  <c r="F170" i="95"/>
  <c r="F171" i="95"/>
  <c r="F172" i="95"/>
  <c r="F173" i="95"/>
  <c r="F174" i="95"/>
  <c r="F175" i="95"/>
  <c r="F176" i="95"/>
  <c r="F177" i="95"/>
  <c r="F178" i="95"/>
  <c r="F179" i="95"/>
  <c r="F180" i="95"/>
  <c r="F181" i="95"/>
  <c r="F182" i="95"/>
  <c r="F183" i="95"/>
  <c r="F184" i="95"/>
  <c r="F185" i="95"/>
  <c r="F186" i="95"/>
  <c r="F187" i="95"/>
  <c r="F188" i="95"/>
  <c r="B58" i="95"/>
  <c r="B59" i="95"/>
  <c r="B60" i="95"/>
  <c r="B61" i="95"/>
  <c r="B62" i="95"/>
  <c r="B63" i="95"/>
  <c r="B64" i="95"/>
  <c r="B65" i="95"/>
  <c r="B66" i="95"/>
  <c r="B67" i="95"/>
  <c r="B68" i="95"/>
  <c r="B69" i="95"/>
  <c r="B70" i="95"/>
  <c r="B71" i="95"/>
  <c r="B72" i="95"/>
  <c r="B73" i="95"/>
  <c r="B74" i="95"/>
  <c r="B75" i="95"/>
  <c r="B76" i="95"/>
  <c r="B77" i="95"/>
  <c r="B78" i="95"/>
  <c r="B79" i="95"/>
  <c r="B80" i="95"/>
  <c r="B81" i="95"/>
  <c r="B82" i="95"/>
  <c r="B83" i="95"/>
  <c r="B84" i="95"/>
  <c r="B85" i="95"/>
  <c r="B86" i="95"/>
  <c r="B87" i="95"/>
  <c r="B88" i="95"/>
  <c r="B89" i="95"/>
  <c r="B90" i="95"/>
  <c r="B91" i="95"/>
  <c r="B92" i="95"/>
  <c r="B93" i="95"/>
  <c r="B94" i="95"/>
  <c r="B95" i="95"/>
  <c r="B96" i="95"/>
  <c r="B97" i="95"/>
  <c r="B98" i="95"/>
  <c r="B99" i="95"/>
  <c r="B100" i="95"/>
  <c r="B101" i="95"/>
  <c r="B102" i="95"/>
  <c r="B103" i="95"/>
  <c r="B104" i="95"/>
  <c r="B105" i="95"/>
  <c r="B106" i="95"/>
  <c r="B107" i="95"/>
  <c r="B108" i="95"/>
  <c r="B109" i="95"/>
  <c r="B110" i="95"/>
  <c r="B111" i="95"/>
  <c r="B112" i="95"/>
  <c r="B113" i="95"/>
  <c r="B114" i="95"/>
  <c r="B115" i="95"/>
  <c r="B116" i="95"/>
  <c r="B117" i="95"/>
  <c r="B118" i="95"/>
  <c r="B119" i="95"/>
  <c r="B120" i="95"/>
  <c r="B121" i="95"/>
  <c r="B122" i="95"/>
  <c r="B123" i="95"/>
  <c r="B124" i="95"/>
  <c r="B125" i="95"/>
  <c r="B126" i="95"/>
  <c r="B127" i="95"/>
  <c r="B128" i="95"/>
  <c r="B129" i="95"/>
  <c r="B130" i="95"/>
  <c r="B131" i="95"/>
  <c r="B132" i="95"/>
  <c r="B133" i="95"/>
  <c r="B134" i="95"/>
  <c r="B135" i="95"/>
  <c r="B136" i="95"/>
  <c r="B137" i="95"/>
  <c r="B138" i="95"/>
  <c r="B139" i="95"/>
  <c r="B140" i="95"/>
  <c r="B141" i="95"/>
  <c r="B142" i="95"/>
  <c r="B143" i="95"/>
  <c r="B144" i="95"/>
  <c r="B145" i="95"/>
  <c r="B146" i="95"/>
  <c r="B147" i="95"/>
  <c r="B148" i="95"/>
  <c r="B149" i="95"/>
  <c r="B150" i="95"/>
  <c r="B151" i="95"/>
  <c r="B152" i="95"/>
  <c r="B153" i="95"/>
  <c r="B154" i="95"/>
  <c r="B155" i="95"/>
  <c r="B156" i="95"/>
  <c r="B157" i="95"/>
  <c r="B158" i="95"/>
  <c r="B159" i="95"/>
  <c r="B160" i="95"/>
  <c r="B161" i="95"/>
  <c r="B162" i="95"/>
  <c r="B163" i="95"/>
  <c r="B164" i="95"/>
  <c r="B165" i="95"/>
  <c r="B166" i="95"/>
  <c r="B167" i="95"/>
  <c r="B168" i="95"/>
  <c r="B169" i="95"/>
  <c r="B170" i="95"/>
  <c r="B171" i="95"/>
  <c r="B172" i="95"/>
  <c r="B173" i="95"/>
  <c r="B174" i="95"/>
  <c r="B175" i="95"/>
  <c r="B176" i="95"/>
  <c r="B177" i="95"/>
  <c r="B178" i="95"/>
  <c r="B179" i="95"/>
  <c r="B180" i="95"/>
  <c r="B181" i="95"/>
  <c r="B182" i="95"/>
  <c r="B183" i="95"/>
  <c r="B184" i="95"/>
  <c r="B185" i="95"/>
  <c r="B186" i="95"/>
  <c r="B187" i="95"/>
  <c r="B188" i="95"/>
  <c r="D58" i="95"/>
  <c r="D59" i="95"/>
  <c r="D60" i="95"/>
  <c r="D61" i="95"/>
  <c r="D62" i="95"/>
  <c r="D63" i="95"/>
  <c r="D64" i="95"/>
  <c r="D65" i="95"/>
  <c r="D66" i="95"/>
  <c r="D67" i="95"/>
  <c r="D68" i="95"/>
  <c r="D69" i="95"/>
  <c r="D70" i="95"/>
  <c r="D71" i="95"/>
  <c r="D72" i="95"/>
  <c r="D73" i="95"/>
  <c r="D74" i="95"/>
  <c r="D75" i="95"/>
  <c r="D76" i="95"/>
  <c r="D77" i="95"/>
  <c r="D78" i="95"/>
  <c r="D79" i="95"/>
  <c r="D80" i="95"/>
  <c r="D81" i="95"/>
  <c r="D82" i="95"/>
  <c r="D83" i="95"/>
  <c r="D84" i="95"/>
  <c r="D85" i="95"/>
  <c r="D86" i="95"/>
  <c r="D87" i="95"/>
  <c r="D88" i="95"/>
  <c r="D89" i="95"/>
  <c r="D90" i="95"/>
  <c r="D91" i="95"/>
  <c r="D92" i="95"/>
  <c r="D93" i="95"/>
  <c r="D94" i="95"/>
  <c r="D95" i="95"/>
  <c r="D96" i="95"/>
  <c r="D97" i="95"/>
  <c r="D98" i="95"/>
  <c r="D99" i="95"/>
  <c r="D100" i="95"/>
  <c r="D101" i="95"/>
  <c r="D102" i="95"/>
  <c r="D103" i="95"/>
  <c r="D104" i="95"/>
  <c r="D105" i="95"/>
  <c r="D106" i="95"/>
  <c r="D107" i="95"/>
  <c r="D108" i="95"/>
  <c r="D109" i="95"/>
  <c r="D110" i="95"/>
  <c r="D111" i="95"/>
  <c r="D112" i="95"/>
  <c r="D113" i="95"/>
  <c r="D114" i="95"/>
  <c r="D115" i="95"/>
  <c r="D116" i="95"/>
  <c r="D117" i="95"/>
  <c r="D118" i="95"/>
  <c r="D119" i="95"/>
  <c r="D120" i="95"/>
  <c r="D121" i="95"/>
  <c r="D122" i="95"/>
  <c r="D123" i="95"/>
  <c r="D124" i="95"/>
  <c r="D125" i="95"/>
  <c r="D126" i="95"/>
  <c r="D127" i="95"/>
  <c r="D128" i="95"/>
  <c r="D129" i="95"/>
  <c r="D130" i="95"/>
  <c r="D131" i="95"/>
  <c r="D132" i="95"/>
  <c r="D133" i="95"/>
  <c r="D134" i="95"/>
  <c r="D135" i="95"/>
  <c r="D136" i="95"/>
  <c r="D137" i="95"/>
  <c r="D138" i="95"/>
  <c r="D139" i="95"/>
  <c r="D140" i="95"/>
  <c r="D141" i="95"/>
  <c r="D142" i="95"/>
  <c r="D143" i="95"/>
  <c r="D144" i="95"/>
  <c r="D145" i="95"/>
  <c r="D146" i="95"/>
  <c r="D147" i="95"/>
  <c r="D148" i="95"/>
  <c r="D149" i="95"/>
  <c r="D150" i="95"/>
  <c r="D151" i="95"/>
  <c r="D152" i="95"/>
  <c r="D153" i="95"/>
  <c r="D154" i="95"/>
  <c r="D155" i="95"/>
  <c r="D156" i="95"/>
  <c r="D157" i="95"/>
  <c r="D158" i="95"/>
  <c r="D159" i="95"/>
  <c r="D160" i="95"/>
  <c r="D161" i="95"/>
  <c r="D162" i="95"/>
  <c r="D163" i="95"/>
  <c r="D164" i="95"/>
  <c r="D165" i="95"/>
  <c r="D166" i="95"/>
  <c r="D167" i="95"/>
  <c r="D168" i="95"/>
  <c r="D169" i="95"/>
  <c r="D170" i="95"/>
  <c r="D171" i="95"/>
  <c r="D172" i="95"/>
  <c r="D173" i="95"/>
  <c r="D174" i="95"/>
  <c r="D175" i="95"/>
  <c r="D176" i="95"/>
  <c r="D177" i="95"/>
  <c r="D178" i="95"/>
  <c r="D179" i="95"/>
  <c r="D180" i="95"/>
  <c r="D181" i="95"/>
  <c r="D182" i="95"/>
  <c r="D183" i="95"/>
  <c r="D184" i="95"/>
  <c r="D185" i="95"/>
  <c r="D186" i="95"/>
  <c r="D187" i="95"/>
  <c r="D188" i="95"/>
  <c r="G100" i="95" l="1"/>
  <c r="G140" i="95"/>
  <c r="G186" i="95"/>
  <c r="G170" i="95"/>
  <c r="G154" i="95"/>
  <c r="G138" i="95"/>
  <c r="G122" i="95"/>
  <c r="G106" i="95"/>
  <c r="G90" i="95"/>
  <c r="G74" i="95"/>
  <c r="G58" i="95"/>
  <c r="G42" i="95"/>
  <c r="G34" i="95"/>
  <c r="G26" i="95"/>
  <c r="G18" i="95"/>
  <c r="G10" i="95"/>
  <c r="G2" i="95"/>
  <c r="G178" i="95"/>
  <c r="G162" i="95"/>
  <c r="G146" i="95"/>
  <c r="G130" i="95"/>
  <c r="G114" i="95"/>
  <c r="G98" i="95"/>
  <c r="G82" i="95"/>
  <c r="G66" i="95"/>
  <c r="G50" i="95"/>
  <c r="G187" i="95"/>
  <c r="G179" i="95"/>
  <c r="G171" i="95"/>
  <c r="G163" i="95"/>
  <c r="G155" i="95"/>
  <c r="G147" i="95"/>
  <c r="G139" i="95"/>
  <c r="G131" i="95"/>
  <c r="G123" i="95"/>
  <c r="G115" i="95"/>
  <c r="G107" i="95"/>
  <c r="G99" i="95"/>
  <c r="G91" i="95"/>
  <c r="G83" i="95"/>
  <c r="G75" i="95"/>
  <c r="G67" i="95"/>
  <c r="G59" i="95"/>
  <c r="G51" i="95"/>
  <c r="G43" i="95"/>
  <c r="G35" i="95"/>
  <c r="G27" i="95"/>
  <c r="G19" i="95"/>
  <c r="G11" i="95"/>
  <c r="G3" i="95"/>
  <c r="G185" i="95"/>
  <c r="G177" i="95"/>
  <c r="G169" i="95"/>
  <c r="G161" i="95"/>
  <c r="G153" i="95"/>
  <c r="G145" i="95"/>
  <c r="G137" i="95"/>
  <c r="G129" i="95"/>
  <c r="G121" i="95"/>
  <c r="G113" i="95"/>
  <c r="G105" i="95"/>
  <c r="G97" i="95"/>
  <c r="G89" i="95"/>
  <c r="G81" i="95"/>
  <c r="G73" i="95"/>
  <c r="G65" i="95"/>
  <c r="G57" i="95"/>
  <c r="G49" i="95"/>
  <c r="G41" i="95"/>
  <c r="G33" i="95"/>
  <c r="G25" i="95"/>
  <c r="G17" i="95"/>
  <c r="G9" i="95"/>
  <c r="G94" i="95"/>
  <c r="G181" i="95"/>
  <c r="G173" i="95"/>
  <c r="G165" i="95"/>
  <c r="G157" i="95"/>
  <c r="G149" i="95"/>
  <c r="G141" i="95"/>
  <c r="G133" i="95"/>
  <c r="G125" i="95"/>
  <c r="G117" i="95"/>
  <c r="G109" i="95"/>
  <c r="G101" i="95"/>
  <c r="G93" i="95"/>
  <c r="G85" i="95"/>
  <c r="G77" i="95"/>
  <c r="G69" i="95"/>
  <c r="G61" i="95"/>
  <c r="G53" i="95"/>
  <c r="G45" i="95"/>
  <c r="G37" i="95"/>
  <c r="G29" i="95"/>
  <c r="G21" i="95"/>
  <c r="G13" i="95"/>
  <c r="G5" i="95"/>
  <c r="G184" i="95"/>
  <c r="G176" i="95"/>
  <c r="G168" i="95"/>
  <c r="G160" i="95"/>
  <c r="G152" i="95"/>
  <c r="G144" i="95"/>
  <c r="G136" i="95"/>
  <c r="G128" i="95"/>
  <c r="G120" i="95"/>
  <c r="G112" i="95"/>
  <c r="G104" i="95"/>
  <c r="G96" i="95"/>
  <c r="G88" i="95"/>
  <c r="G80" i="95"/>
  <c r="G72" i="95"/>
  <c r="G64" i="95"/>
  <c r="G56" i="95"/>
  <c r="G48" i="95"/>
  <c r="G40" i="95"/>
  <c r="G32" i="95"/>
  <c r="G24" i="95"/>
  <c r="G16" i="95"/>
  <c r="G8" i="95"/>
  <c r="G183" i="95"/>
  <c r="G175" i="95"/>
  <c r="G167" i="95"/>
  <c r="G159" i="95"/>
  <c r="G151" i="95"/>
  <c r="G143" i="95"/>
  <c r="G135" i="95"/>
  <c r="G127" i="95"/>
  <c r="G119" i="95"/>
  <c r="G111" i="95"/>
  <c r="G103" i="95"/>
  <c r="G95" i="95"/>
  <c r="G87" i="95"/>
  <c r="G79" i="95"/>
  <c r="G71" i="95"/>
  <c r="G63" i="95"/>
  <c r="G55" i="95"/>
  <c r="G47" i="95"/>
  <c r="G39" i="95"/>
  <c r="G31" i="95"/>
  <c r="G23" i="95"/>
  <c r="G15" i="95"/>
  <c r="G7" i="95"/>
  <c r="G182" i="95"/>
  <c r="G174" i="95"/>
  <c r="G166" i="95"/>
  <c r="G158" i="95"/>
  <c r="G150" i="95"/>
  <c r="G142" i="95"/>
  <c r="G134" i="95"/>
  <c r="G126" i="95"/>
  <c r="G118" i="95"/>
  <c r="G110" i="95"/>
  <c r="G102" i="95"/>
  <c r="G86" i="95"/>
  <c r="G78" i="95"/>
  <c r="G70" i="95"/>
  <c r="G62" i="95"/>
  <c r="G54" i="95"/>
  <c r="G46" i="95"/>
  <c r="G38" i="95"/>
  <c r="G30" i="95"/>
  <c r="G22" i="95"/>
  <c r="G14" i="95"/>
  <c r="G6" i="95"/>
  <c r="G188" i="95"/>
  <c r="G180" i="95"/>
  <c r="G172" i="95"/>
  <c r="G164" i="95"/>
  <c r="G156" i="95"/>
  <c r="G148" i="95"/>
  <c r="G132" i="95"/>
  <c r="G124" i="95"/>
  <c r="G116" i="95"/>
  <c r="G108" i="95"/>
  <c r="G92" i="95"/>
  <c r="G84" i="95"/>
  <c r="G76" i="95"/>
  <c r="G68" i="95"/>
  <c r="G60" i="95"/>
  <c r="G52" i="95"/>
  <c r="G44" i="95"/>
  <c r="G36" i="95"/>
  <c r="G28" i="95"/>
  <c r="G20" i="95"/>
  <c r="G12" i="95"/>
  <c r="G4" i="95"/>
  <c r="B57" i="95" l="1"/>
  <c r="D57" i="95"/>
  <c r="B56" i="95"/>
  <c r="D56" i="95"/>
  <c r="B55" i="95" l="1"/>
  <c r="D55" i="95"/>
  <c r="B54" i="95" l="1"/>
  <c r="D54" i="95"/>
  <c r="B53" i="95" l="1"/>
  <c r="D53" i="95"/>
  <c r="B52" i="95"/>
  <c r="D52" i="95"/>
  <c r="F2" i="94" l="1"/>
  <c r="F3" i="94"/>
  <c r="F4" i="94"/>
  <c r="F5" i="94"/>
  <c r="F6" i="94"/>
  <c r="B51" i="95" l="1"/>
  <c r="D51" i="95"/>
  <c r="B50" i="95"/>
  <c r="D50" i="95"/>
  <c r="B49" i="95"/>
  <c r="D49" i="95"/>
  <c r="B48" i="95"/>
  <c r="D48" i="95"/>
  <c r="B47" i="95" l="1"/>
  <c r="D47" i="95"/>
  <c r="B46" i="95"/>
  <c r="D46" i="95"/>
  <c r="B45" i="95"/>
  <c r="D45" i="95"/>
  <c r="B44" i="95" l="1"/>
  <c r="D44" i="95"/>
  <c r="B13" i="95"/>
  <c r="B14" i="95"/>
  <c r="B15" i="95"/>
  <c r="B16" i="95"/>
  <c r="B17" i="95"/>
  <c r="B18" i="95"/>
  <c r="B19" i="95"/>
  <c r="B20" i="95"/>
  <c r="B21" i="95"/>
  <c r="B22" i="95"/>
  <c r="B23" i="95"/>
  <c r="B24" i="95"/>
  <c r="B25" i="95"/>
  <c r="B26" i="95"/>
  <c r="B27" i="95"/>
  <c r="B28" i="95"/>
  <c r="B29" i="95"/>
  <c r="B30" i="95"/>
  <c r="B31" i="95"/>
  <c r="B32" i="95"/>
  <c r="B33" i="95"/>
  <c r="B34" i="95"/>
  <c r="B35" i="95"/>
  <c r="B36" i="95"/>
  <c r="B37" i="95"/>
  <c r="B38" i="95"/>
  <c r="B39" i="95"/>
  <c r="B40" i="95"/>
  <c r="B41" i="95"/>
  <c r="B42" i="95"/>
  <c r="B43" i="95"/>
  <c r="B12" i="95"/>
  <c r="D12" i="95"/>
  <c r="D13" i="95"/>
  <c r="D14" i="95"/>
  <c r="D15" i="95"/>
  <c r="D16" i="95"/>
  <c r="D17" i="95"/>
  <c r="D18" i="95"/>
  <c r="D19" i="95"/>
  <c r="D20" i="95"/>
  <c r="D21" i="95"/>
  <c r="D22" i="95"/>
  <c r="D23" i="95"/>
  <c r="D24" i="95"/>
  <c r="D25" i="95"/>
  <c r="D26" i="95"/>
  <c r="D27" i="95"/>
  <c r="D28" i="95"/>
  <c r="D29" i="95"/>
  <c r="D30" i="95"/>
  <c r="D31" i="95"/>
  <c r="D32" i="95"/>
  <c r="D33" i="95"/>
  <c r="D34" i="95"/>
  <c r="D35" i="95"/>
  <c r="D36" i="95"/>
  <c r="D37" i="95"/>
  <c r="D38" i="95"/>
  <c r="D39" i="95"/>
  <c r="D40" i="95"/>
  <c r="D41" i="95"/>
  <c r="D42" i="95"/>
  <c r="D43" i="95"/>
  <c r="C63" i="117" l="1"/>
  <c r="C74" i="117" s="1"/>
  <c r="C109" i="117" s="1"/>
  <c r="B6" i="95"/>
  <c r="B7" i="95"/>
  <c r="B8" i="95"/>
  <c r="B9" i="95"/>
  <c r="B10" i="95"/>
  <c r="B11" i="95"/>
  <c r="D6" i="95"/>
  <c r="D7" i="95"/>
  <c r="D8" i="95"/>
  <c r="D9" i="95"/>
  <c r="D10" i="95"/>
  <c r="D11" i="95"/>
  <c r="B4" i="95"/>
  <c r="B5" i="95"/>
  <c r="D4" i="95"/>
  <c r="D5" i="95"/>
  <c r="E2" i="94"/>
  <c r="E3" i="94"/>
  <c r="E4" i="94"/>
  <c r="E5" i="94"/>
  <c r="E6" i="94"/>
  <c r="D2" i="95"/>
  <c r="D3" i="95"/>
  <c r="B2" i="95"/>
  <c r="B3" i="95"/>
  <c r="C70" i="117" l="1"/>
  <c r="C71" i="117" l="1"/>
  <c r="D2" i="42" l="1"/>
  <c r="AA4" i="46"/>
  <c r="C16" i="117"/>
  <c r="N4" i="46"/>
  <c r="M4" i="46"/>
  <c r="Z4" i="46"/>
  <c r="T4" i="46"/>
  <c r="U4" i="46"/>
  <c r="X4" i="46"/>
  <c r="C48" i="117" l="1"/>
  <c r="I2" i="42"/>
  <c r="Y2" i="42" s="1"/>
  <c r="AV5" i="42"/>
  <c r="BM5" i="42" s="1"/>
  <c r="BN5" i="42" s="1"/>
  <c r="BO5" i="42" s="1"/>
  <c r="A5" i="42" s="1"/>
  <c r="AZ5" i="42"/>
  <c r="AV6" i="42"/>
  <c r="BM6" i="42" s="1"/>
  <c r="BN6" i="42" s="1"/>
  <c r="BO6" i="42" s="1"/>
  <c r="A6" i="42" s="1"/>
  <c r="AV3" i="42"/>
  <c r="BM3" i="42" s="1"/>
  <c r="BN3" i="42" s="1"/>
  <c r="BO3" i="42" s="1"/>
  <c r="A3" i="42" s="1"/>
  <c r="AV4" i="42"/>
  <c r="BM4" i="42" s="1"/>
  <c r="BN4" i="42" s="1"/>
  <c r="BO4" i="42" s="1"/>
  <c r="A4" i="42" s="1"/>
  <c r="AV8" i="42"/>
  <c r="BM8" i="42" s="1"/>
  <c r="BN8" i="42" s="1"/>
  <c r="BO8" i="42" s="1"/>
  <c r="A8" i="42" s="1"/>
  <c r="AV9" i="42"/>
  <c r="BM9" i="42" s="1"/>
  <c r="BN9" i="42" s="1"/>
  <c r="BO9" i="42" s="1"/>
  <c r="A9" i="42" s="1"/>
  <c r="AZ4" i="42"/>
  <c r="BF11" i="42"/>
  <c r="AZ10" i="42"/>
  <c r="AV10" i="42"/>
  <c r="BM10" i="42" s="1"/>
  <c r="BN10" i="42" s="1"/>
  <c r="BO10" i="42" s="1"/>
  <c r="A10" i="42" s="1"/>
  <c r="AV7" i="42"/>
  <c r="BM7" i="42" s="1"/>
  <c r="BN7" i="42" s="1"/>
  <c r="BO7" i="42" s="1"/>
  <c r="A7" i="42" s="1"/>
  <c r="AZ3" i="42"/>
  <c r="AZ6" i="42"/>
  <c r="AZ7" i="42"/>
  <c r="AZ11" i="42"/>
  <c r="AZ9" i="42"/>
  <c r="AZ8" i="42"/>
  <c r="BA2" i="42"/>
  <c r="O2" i="42"/>
  <c r="AD2" i="42" s="1"/>
  <c r="R2" i="42"/>
  <c r="P2" i="42"/>
  <c r="AF2" i="42" s="1"/>
  <c r="S2" i="42"/>
  <c r="AG2" i="42" s="1"/>
  <c r="N2" i="42"/>
  <c r="K2" i="42"/>
  <c r="M2" i="42"/>
  <c r="AE2" i="42" s="1"/>
  <c r="F2" i="42"/>
  <c r="G2" i="42"/>
  <c r="U2" i="42"/>
  <c r="AA2" i="42" s="1"/>
  <c r="H2" i="42"/>
  <c r="J2" i="42"/>
  <c r="X2" i="42" s="1"/>
  <c r="T2" i="42"/>
  <c r="Z2" i="42" s="1"/>
  <c r="AR2" i="42"/>
  <c r="AT2" i="42" s="1"/>
  <c r="AQ2" i="42"/>
  <c r="AS2" i="42" s="1"/>
  <c r="Q2" i="42"/>
  <c r="AH2" i="42" s="1"/>
  <c r="L2" i="42"/>
  <c r="AC2" i="42" s="1"/>
  <c r="E2" i="42"/>
  <c r="W2" i="42" s="1"/>
  <c r="AN2" i="42"/>
  <c r="AO2" i="42" s="1"/>
  <c r="C62" i="117"/>
  <c r="AZ2" i="42"/>
  <c r="V4" i="46"/>
  <c r="O4" i="46" s="1"/>
  <c r="W4" i="46"/>
  <c r="L4" i="46"/>
  <c r="AB2" i="42" l="1"/>
  <c r="AI2" i="42"/>
  <c r="C18" i="117"/>
  <c r="C121" i="117"/>
  <c r="C122" i="117" s="1"/>
  <c r="C73" i="117"/>
  <c r="C64" i="117"/>
  <c r="C19" i="117" s="1"/>
  <c r="C124" i="117"/>
  <c r="C125" i="117" l="1"/>
  <c r="C123" i="117"/>
  <c r="C136" i="117"/>
  <c r="B4" i="118"/>
  <c r="B6" i="118"/>
  <c r="C20" i="117"/>
  <c r="AY2" i="42"/>
  <c r="AM10" i="42"/>
  <c r="AM6" i="42"/>
  <c r="AM4" i="42"/>
  <c r="AM8" i="42"/>
  <c r="AM11" i="42"/>
  <c r="AM5" i="42"/>
  <c r="AM9" i="42"/>
  <c r="AM3" i="42"/>
  <c r="AM7" i="42"/>
  <c r="AU2" i="42" l="1"/>
  <c r="AL8" i="42"/>
  <c r="AX8" i="42" s="1"/>
  <c r="C8" i="42" s="1"/>
  <c r="AL6" i="42"/>
  <c r="AX6" i="42" s="1"/>
  <c r="C6" i="42" s="1"/>
  <c r="AL5" i="42"/>
  <c r="AX5" i="42" s="1"/>
  <c r="C5" i="42" s="1"/>
  <c r="AL4" i="42"/>
  <c r="AX4" i="42" s="1"/>
  <c r="C4" i="42" s="1"/>
  <c r="AL10" i="42"/>
  <c r="AX10" i="42" s="1"/>
  <c r="C10" i="42" s="1"/>
  <c r="AL7" i="42"/>
  <c r="AX7" i="42" s="1"/>
  <c r="C7" i="42" s="1"/>
  <c r="AL11" i="42"/>
  <c r="AX11" i="42" s="1"/>
  <c r="C11" i="42" s="1"/>
  <c r="AL9" i="42"/>
  <c r="AX9" i="42" s="1"/>
  <c r="C9" i="42" s="1"/>
  <c r="AL3" i="42"/>
  <c r="AX3" i="42" s="1"/>
  <c r="C3" i="42" s="1"/>
  <c r="AK2" i="42" l="1"/>
  <c r="AM2" i="42"/>
  <c r="AL2" i="42" l="1"/>
  <c r="BJ2" i="42" l="1"/>
  <c r="AW2" i="42"/>
  <c r="B5" i="118" l="1"/>
  <c r="AX2" i="42" l="1"/>
  <c r="C2" i="42" s="1"/>
  <c r="BB2" i="42" l="1"/>
  <c r="BC10" i="42" l="1"/>
  <c r="BC3" i="42"/>
  <c r="BC4" i="42"/>
  <c r="BC9" i="42"/>
  <c r="BC5" i="42"/>
  <c r="BC11" i="42"/>
  <c r="BC6" i="42"/>
  <c r="BC8" i="42"/>
  <c r="BC7" i="42"/>
  <c r="BC2" i="42"/>
  <c r="C127" i="117" l="1"/>
  <c r="C130" i="117" s="1"/>
  <c r="C133" i="117" s="1"/>
  <c r="B22" i="118"/>
  <c r="BD5" i="42" l="1"/>
  <c r="BD6" i="42"/>
  <c r="BD3" i="42"/>
  <c r="BD4" i="42"/>
  <c r="BD7" i="42"/>
  <c r="BD8" i="42"/>
  <c r="BD9" i="42"/>
  <c r="BD10" i="42"/>
  <c r="BD11" i="42"/>
  <c r="AV11" i="42"/>
  <c r="BM11" i="42" s="1"/>
  <c r="BN11" i="42" s="1"/>
  <c r="BO11" i="42" s="1"/>
  <c r="A11" i="42" s="1"/>
  <c r="BL11" i="42"/>
  <c r="AV2" i="42"/>
  <c r="BM2" i="42" s="1"/>
  <c r="BD2" i="42"/>
  <c r="BE11" i="42" l="1"/>
  <c r="BK11" i="42" s="1"/>
  <c r="BI11" i="42" s="1"/>
  <c r="BP11" i="42" s="1"/>
  <c r="BQ11" i="42" s="1"/>
  <c r="BR11" i="42" s="1"/>
  <c r="B11" i="42" s="1"/>
  <c r="BE5" i="42"/>
  <c r="BK5" i="42" s="1"/>
  <c r="BE7" i="42"/>
  <c r="BK7" i="42" s="1"/>
  <c r="BE9" i="42"/>
  <c r="BK9" i="42" s="1"/>
  <c r="BE3" i="42"/>
  <c r="BK3" i="42" s="1"/>
  <c r="BE10" i="42"/>
  <c r="BK10" i="42" s="1"/>
  <c r="BE4" i="42"/>
  <c r="BK4" i="42" s="1"/>
  <c r="BE8" i="42"/>
  <c r="BK8" i="42" s="1"/>
  <c r="BE6" i="42"/>
  <c r="BK6" i="42" s="1"/>
  <c r="BN2" i="42"/>
  <c r="E8" i="117"/>
  <c r="BE2" i="42"/>
  <c r="BG3" i="42" l="1"/>
  <c r="BG8" i="42"/>
  <c r="BG7" i="42"/>
  <c r="BG9" i="42"/>
  <c r="BG4" i="42"/>
  <c r="BG11" i="42"/>
  <c r="BG5" i="42"/>
  <c r="BG6" i="42"/>
  <c r="BG10" i="42"/>
  <c r="BO2" i="42"/>
  <c r="A2" i="42" s="1"/>
  <c r="BK2" i="42"/>
  <c r="BG2" i="42"/>
  <c r="BH5" i="42" l="1"/>
  <c r="BF4" i="42"/>
  <c r="BL4" i="42" s="1"/>
  <c r="BI4" i="42" s="1"/>
  <c r="BP4" i="42" s="1"/>
  <c r="BQ4" i="42" s="1"/>
  <c r="BR4" i="42" s="1"/>
  <c r="B4" i="42" s="1"/>
  <c r="BH7" i="42"/>
  <c r="BF6" i="42"/>
  <c r="BL6" i="42" s="1"/>
  <c r="BI6" i="42" s="1"/>
  <c r="BP6" i="42" s="1"/>
  <c r="BQ6" i="42" s="1"/>
  <c r="BR6" i="42" s="1"/>
  <c r="B6" i="42" s="1"/>
  <c r="BH11" i="42"/>
  <c r="BF10" i="42"/>
  <c r="BL10" i="42" s="1"/>
  <c r="BI10" i="42" s="1"/>
  <c r="BP10" i="42" s="1"/>
  <c r="BQ10" i="42" s="1"/>
  <c r="BR10" i="42" s="1"/>
  <c r="B10" i="42" s="1"/>
  <c r="BH8" i="42"/>
  <c r="BF7" i="42"/>
  <c r="BL7" i="42" s="1"/>
  <c r="BI7" i="42" s="1"/>
  <c r="BP7" i="42" s="1"/>
  <c r="BQ7" i="42" s="1"/>
  <c r="BR7" i="42" s="1"/>
  <c r="B7" i="42" s="1"/>
  <c r="BH10" i="42"/>
  <c r="BF9" i="42"/>
  <c r="BL9" i="42" s="1"/>
  <c r="BI9" i="42" s="1"/>
  <c r="BP9" i="42" s="1"/>
  <c r="BQ9" i="42" s="1"/>
  <c r="BR9" i="42" s="1"/>
  <c r="B9" i="42" s="1"/>
  <c r="BH4" i="42"/>
  <c r="BF3" i="42"/>
  <c r="BL3" i="42" s="1"/>
  <c r="BI3" i="42" s="1"/>
  <c r="BP3" i="42" s="1"/>
  <c r="BQ3" i="42" s="1"/>
  <c r="BR3" i="42" s="1"/>
  <c r="B3" i="42" s="1"/>
  <c r="BH3" i="42"/>
  <c r="BH6" i="42"/>
  <c r="BF5" i="42"/>
  <c r="BL5" i="42" s="1"/>
  <c r="BI5" i="42" s="1"/>
  <c r="BP5" i="42" s="1"/>
  <c r="BQ5" i="42" s="1"/>
  <c r="BR5" i="42" s="1"/>
  <c r="B5" i="42" s="1"/>
  <c r="BH9" i="42"/>
  <c r="BF8" i="42"/>
  <c r="BL8" i="42" s="1"/>
  <c r="BI8" i="42" s="1"/>
  <c r="BP8" i="42" s="1"/>
  <c r="BQ8" i="42" s="1"/>
  <c r="BR8" i="42" s="1"/>
  <c r="B8" i="42" s="1"/>
  <c r="BH2" i="42"/>
  <c r="C23" i="117"/>
  <c r="BF2" i="42"/>
  <c r="BL2" i="42" s="1"/>
  <c r="BI2" i="42" l="1"/>
  <c r="B33" i="117"/>
  <c r="B7" i="118"/>
  <c r="BP2" i="42" l="1"/>
  <c r="BQ2" i="42" l="1"/>
  <c r="BR2" i="42" s="1"/>
  <c r="B2" i="42" l="1"/>
</calcChain>
</file>

<file path=xl/sharedStrings.xml><?xml version="1.0" encoding="utf-8"?>
<sst xmlns="http://schemas.openxmlformats.org/spreadsheetml/2006/main" count="14621" uniqueCount="6325">
  <si>
    <t>Country</t>
  </si>
  <si>
    <t>USA</t>
  </si>
  <si>
    <t>FRA</t>
  </si>
  <si>
    <t>P</t>
  </si>
  <si>
    <t>Type</t>
  </si>
  <si>
    <t>D</t>
  </si>
  <si>
    <t>ID</t>
  </si>
  <si>
    <t>10C</t>
  </si>
  <si>
    <t>24C</t>
  </si>
  <si>
    <t>24J</t>
  </si>
  <si>
    <t>25D</t>
  </si>
  <si>
    <t>29D</t>
  </si>
  <si>
    <t>40J</t>
  </si>
  <si>
    <t>M</t>
  </si>
  <si>
    <t>F</t>
  </si>
  <si>
    <t>ETA (local time)</t>
  </si>
  <si>
    <t>ETD (local time)</t>
  </si>
  <si>
    <t>Aircraft Configuration</t>
  </si>
  <si>
    <t>ETD</t>
  </si>
  <si>
    <t>ETA</t>
  </si>
  <si>
    <t>CC</t>
  </si>
  <si>
    <t>Check</t>
  </si>
  <si>
    <t>Code</t>
  </si>
  <si>
    <t>LIV</t>
  </si>
  <si>
    <t>LIX</t>
  </si>
  <si>
    <t>LVI</t>
  </si>
  <si>
    <t>ATT+2++</t>
  </si>
  <si>
    <t>NAT+2+</t>
  </si>
  <si>
    <t>DOC+</t>
  </si>
  <si>
    <t>Passenger</t>
  </si>
  <si>
    <t>FL</t>
  </si>
  <si>
    <t>DDT</t>
  </si>
  <si>
    <t>FM</t>
  </si>
  <si>
    <t>Crew Member</t>
  </si>
  <si>
    <t>In-Transit Crew Member</t>
  </si>
  <si>
    <t>DDU</t>
  </si>
  <si>
    <t>In-Transit Passenger</t>
  </si>
  <si>
    <t>NAD+</t>
  </si>
  <si>
    <t>LOC+91</t>
  </si>
  <si>
    <t>LOC+174+</t>
  </si>
  <si>
    <t>LOC+178+</t>
  </si>
  <si>
    <t>DTM+329:</t>
  </si>
  <si>
    <t>LOC+179+</t>
  </si>
  <si>
    <t>DTM+36:</t>
  </si>
  <si>
    <t>UNB</t>
  </si>
  <si>
    <t>Message Type</t>
  </si>
  <si>
    <t>MessageType</t>
  </si>
  <si>
    <t>RFF+SEA:</t>
  </si>
  <si>
    <t>TDT</t>
  </si>
  <si>
    <t>SGP</t>
  </si>
  <si>
    <t>UNA</t>
  </si>
  <si>
    <t>UNZ</t>
  </si>
  <si>
    <t>UNH</t>
  </si>
  <si>
    <t>UNT</t>
  </si>
  <si>
    <t>BGM</t>
  </si>
  <si>
    <t>MessageTypeCode</t>
  </si>
  <si>
    <t>Passenger List</t>
  </si>
  <si>
    <t>Crew List Declaration</t>
  </si>
  <si>
    <t>Change In Flight Status</t>
  </si>
  <si>
    <t>Master Crew List Declaration</t>
  </si>
  <si>
    <t>Gate Pass</t>
  </si>
  <si>
    <t>TSCQ</t>
  </si>
  <si>
    <t>Arriving</t>
  </si>
  <si>
    <t>Departing</t>
  </si>
  <si>
    <t>Over-flight</t>
  </si>
  <si>
    <t>TSCQ Code</t>
  </si>
  <si>
    <t>NAD</t>
  </si>
  <si>
    <t>DTM+36:2</t>
  </si>
  <si>
    <t>DOC+2</t>
  </si>
  <si>
    <t>LOC+91.2</t>
  </si>
  <si>
    <t>IAD</t>
  </si>
  <si>
    <t>SPG</t>
  </si>
  <si>
    <t>DEU</t>
  </si>
  <si>
    <t>Airport</t>
  </si>
  <si>
    <t>ARE</t>
  </si>
  <si>
    <t>DXB</t>
  </si>
  <si>
    <t>JED</t>
  </si>
  <si>
    <t>SAU</t>
  </si>
  <si>
    <t>DK1</t>
  </si>
  <si>
    <t>DK2</t>
  </si>
  <si>
    <t>DK3</t>
  </si>
  <si>
    <t>DK4</t>
  </si>
  <si>
    <t>DK6</t>
  </si>
  <si>
    <t>UN EDI. 2</t>
  </si>
  <si>
    <t>Departing Airport</t>
  </si>
  <si>
    <t>Arriving Airport</t>
  </si>
  <si>
    <t>CNT_Code</t>
  </si>
  <si>
    <t>PAX_Type</t>
  </si>
  <si>
    <t>Contents</t>
  </si>
  <si>
    <t>Attach Header</t>
  </si>
  <si>
    <t>Attach Footer</t>
  </si>
  <si>
    <t>RowNo.</t>
  </si>
  <si>
    <t>LON</t>
  </si>
  <si>
    <t>DAT</t>
  </si>
  <si>
    <t>JFK</t>
  </si>
  <si>
    <t>LHR</t>
  </si>
  <si>
    <t>ORG</t>
  </si>
  <si>
    <t>GBR</t>
  </si>
  <si>
    <t>LGW</t>
  </si>
  <si>
    <t>KIN</t>
  </si>
  <si>
    <t>JAM</t>
  </si>
  <si>
    <t>AMS</t>
  </si>
  <si>
    <t>NLD</t>
  </si>
  <si>
    <t>TUR</t>
  </si>
  <si>
    <t>GEO</t>
  </si>
  <si>
    <t>Entity Match</t>
  </si>
  <si>
    <t>Operating Carrier</t>
  </si>
  <si>
    <t>APD (equipment)</t>
  </si>
  <si>
    <t>DCA</t>
  </si>
  <si>
    <t>LGA</t>
  </si>
  <si>
    <t>E90</t>
  </si>
  <si>
    <t>E90-Embraer RJ-190</t>
  </si>
  <si>
    <t>HEL</t>
  </si>
  <si>
    <t>TLL</t>
  </si>
  <si>
    <t>Itinerary ID</t>
  </si>
  <si>
    <t>Date</t>
  </si>
  <si>
    <t>YYZ</t>
  </si>
  <si>
    <t>Unique ID</t>
  </si>
  <si>
    <t>Arrival Time</t>
  </si>
  <si>
    <t>Arrival Date</t>
  </si>
  <si>
    <t>Arrival Airport</t>
  </si>
  <si>
    <t>Departure Airport</t>
  </si>
  <si>
    <t>LegNo.</t>
  </si>
  <si>
    <t>Admin CC</t>
  </si>
  <si>
    <t>Admin Flight No.</t>
  </si>
  <si>
    <t>Op Flight No.</t>
  </si>
  <si>
    <t>Flight Time</t>
  </si>
  <si>
    <t>NRT</t>
  </si>
  <si>
    <t>Weekday</t>
  </si>
  <si>
    <t>SUN</t>
  </si>
  <si>
    <t>MON</t>
  </si>
  <si>
    <t>THU</t>
  </si>
  <si>
    <t>FRI</t>
  </si>
  <si>
    <t>SAT</t>
  </si>
  <si>
    <t>CDG</t>
  </si>
  <si>
    <t>ICN</t>
  </si>
  <si>
    <t>PEK</t>
  </si>
  <si>
    <t>GRU</t>
  </si>
  <si>
    <t>CUN</t>
  </si>
  <si>
    <t>MEX</t>
  </si>
  <si>
    <t>YUL</t>
  </si>
  <si>
    <t>PTY</t>
  </si>
  <si>
    <t>MBJ</t>
  </si>
  <si>
    <t>DKR</t>
  </si>
  <si>
    <t>NAS</t>
  </si>
  <si>
    <t>DUB</t>
  </si>
  <si>
    <t>CMN</t>
  </si>
  <si>
    <t>ACC</t>
  </si>
  <si>
    <t>RUH</t>
  </si>
  <si>
    <t>DOH</t>
  </si>
  <si>
    <t>KEF</t>
  </si>
  <si>
    <t>AUH</t>
  </si>
  <si>
    <t>BRU</t>
  </si>
  <si>
    <t>CPH</t>
  </si>
  <si>
    <t>IST</t>
  </si>
  <si>
    <t>VIE</t>
  </si>
  <si>
    <t>Unique_ID</t>
  </si>
  <si>
    <t>FNA</t>
  </si>
  <si>
    <t>ROB</t>
  </si>
  <si>
    <t>CKY</t>
  </si>
  <si>
    <t>KOR</t>
  </si>
  <si>
    <t>BAG</t>
  </si>
  <si>
    <t>TVL</t>
  </si>
  <si>
    <t>DNK</t>
  </si>
  <si>
    <t>EGY</t>
  </si>
  <si>
    <t>ITA</t>
  </si>
  <si>
    <t>RUS</t>
  </si>
  <si>
    <t>PRI</t>
  </si>
  <si>
    <t>IRQ</t>
  </si>
  <si>
    <t>IDN</t>
  </si>
  <si>
    <t>ZAF</t>
  </si>
  <si>
    <t>AUS</t>
  </si>
  <si>
    <t>CAN</t>
  </si>
  <si>
    <t>COL</t>
  </si>
  <si>
    <t>JPN</t>
  </si>
  <si>
    <t>THA</t>
  </si>
  <si>
    <t>CHN</t>
  </si>
  <si>
    <t>TWN</t>
  </si>
  <si>
    <t>IND</t>
  </si>
  <si>
    <t>POL</t>
  </si>
  <si>
    <t>GRC</t>
  </si>
  <si>
    <t>ESP</t>
  </si>
  <si>
    <t>BRA</t>
  </si>
  <si>
    <t>HUN</t>
  </si>
  <si>
    <t>IRN</t>
  </si>
  <si>
    <t>GHA</t>
  </si>
  <si>
    <t>AUT</t>
  </si>
  <si>
    <t>SDN</t>
  </si>
  <si>
    <t>PAK</t>
  </si>
  <si>
    <t>ZWE</t>
  </si>
  <si>
    <t>PRT</t>
  </si>
  <si>
    <t>CHL</t>
  </si>
  <si>
    <t>AZE</t>
  </si>
  <si>
    <t>PHL</t>
  </si>
  <si>
    <t>LBN</t>
  </si>
  <si>
    <t>ARG</t>
  </si>
  <si>
    <t>NGA</t>
  </si>
  <si>
    <t>COG</t>
  </si>
  <si>
    <t>ISR</t>
  </si>
  <si>
    <t>PER</t>
  </si>
  <si>
    <t>BEL</t>
  </si>
  <si>
    <t>MYS</t>
  </si>
  <si>
    <t>UZB</t>
  </si>
  <si>
    <t>KWT</t>
  </si>
  <si>
    <t>ZZ</t>
  </si>
  <si>
    <t>UN</t>
  </si>
  <si>
    <t>LAX</t>
  </si>
  <si>
    <t>SVO</t>
  </si>
  <si>
    <t>RIX</t>
  </si>
  <si>
    <t>MUC</t>
  </si>
  <si>
    <t>YTZ</t>
  </si>
  <si>
    <t>SAL</t>
  </si>
  <si>
    <t>ADD</t>
  </si>
  <si>
    <t>LOS</t>
  </si>
  <si>
    <t>BEY</t>
  </si>
  <si>
    <t>SAW</t>
  </si>
  <si>
    <t>IRL</t>
  </si>
  <si>
    <t>AGT</t>
  </si>
  <si>
    <t>BOM</t>
  </si>
  <si>
    <t>ORD</t>
  </si>
  <si>
    <t>ArrivalAdjustment</t>
  </si>
  <si>
    <t>Departure Time</t>
  </si>
  <si>
    <t>KWI</t>
  </si>
  <si>
    <t>QAT</t>
  </si>
  <si>
    <t>CMB</t>
  </si>
  <si>
    <t>Flight Details</t>
  </si>
  <si>
    <t>Flight Name</t>
  </si>
  <si>
    <t>Set Apis Table to Row</t>
  </si>
  <si>
    <t>CZE</t>
  </si>
  <si>
    <t>PassengerTVLHash</t>
  </si>
  <si>
    <t>Predecessors</t>
  </si>
  <si>
    <t>Successors</t>
  </si>
  <si>
    <t>PreSearch</t>
  </si>
  <si>
    <t>SEZ</t>
  </si>
  <si>
    <t>ATH</t>
  </si>
  <si>
    <t>ZRH</t>
  </si>
  <si>
    <t>EBB</t>
  </si>
  <si>
    <t>NBO</t>
  </si>
  <si>
    <t>CAI</t>
  </si>
  <si>
    <t>JNB</t>
  </si>
  <si>
    <t>KGL</t>
  </si>
  <si>
    <t>JUB</t>
  </si>
  <si>
    <t>JRO</t>
  </si>
  <si>
    <t>DAR</t>
  </si>
  <si>
    <t>ETH</t>
  </si>
  <si>
    <t>TZA</t>
  </si>
  <si>
    <t>UGA</t>
  </si>
  <si>
    <t>SSD</t>
  </si>
  <si>
    <t>RWA</t>
  </si>
  <si>
    <t>KEN</t>
  </si>
  <si>
    <t>PNR</t>
  </si>
  <si>
    <t>FIN</t>
  </si>
  <si>
    <t>ISL</t>
  </si>
  <si>
    <t>PNR Record Locator</t>
  </si>
  <si>
    <t>Manifest Generator Output</t>
  </si>
  <si>
    <t>OrderOnPNR</t>
  </si>
  <si>
    <t>MainTraveler</t>
  </si>
  <si>
    <t>ERI</t>
  </si>
  <si>
    <t>PAN</t>
  </si>
  <si>
    <t>SEN</t>
  </si>
  <si>
    <t>BHS</t>
  </si>
  <si>
    <t>MAR</t>
  </si>
  <si>
    <t>SLV</t>
  </si>
  <si>
    <t>CHE</t>
  </si>
  <si>
    <t>SFO</t>
  </si>
  <si>
    <t>chronologicalPush</t>
  </si>
  <si>
    <t>pushDescription</t>
  </si>
  <si>
    <t>72 hours prior to departure</t>
  </si>
  <si>
    <t>pushNumber</t>
  </si>
  <si>
    <t>Wheels Up</t>
  </si>
  <si>
    <t>24 hours prior to departure</t>
  </si>
  <si>
    <t>2 hours prior to departure</t>
  </si>
  <si>
    <t>1 hour prior to departure</t>
  </si>
  <si>
    <t>iataAirportCode</t>
  </si>
  <si>
    <t>gmtOffset</t>
  </si>
  <si>
    <t>+/-</t>
  </si>
  <si>
    <t>gmtOffsetValue</t>
  </si>
  <si>
    <t>pushAdjustmentValue</t>
  </si>
  <si>
    <t>pushAdjustment</t>
  </si>
  <si>
    <t>ABC</t>
  </si>
  <si>
    <t>BLZ</t>
  </si>
  <si>
    <t>XYZ</t>
  </si>
  <si>
    <t>MWI</t>
  </si>
  <si>
    <t>String</t>
  </si>
  <si>
    <t>GKA</t>
  </si>
  <si>
    <t>PNG</t>
  </si>
  <si>
    <t>MAG</t>
  </si>
  <si>
    <t>HGU</t>
  </si>
  <si>
    <t>LAE</t>
  </si>
  <si>
    <t>POM</t>
  </si>
  <si>
    <t>WWK</t>
  </si>
  <si>
    <t>UAK</t>
  </si>
  <si>
    <t>GRL</t>
  </si>
  <si>
    <t>GOH</t>
  </si>
  <si>
    <t>SFJ</t>
  </si>
  <si>
    <t>AEY</t>
  </si>
  <si>
    <t>EGS</t>
  </si>
  <si>
    <t>HFN</t>
  </si>
  <si>
    <t>HZK</t>
  </si>
  <si>
    <t>IFJ</t>
  </si>
  <si>
    <t>PFJ</t>
  </si>
  <si>
    <t>RKV</t>
  </si>
  <si>
    <t>SIJ</t>
  </si>
  <si>
    <t>VEY</t>
  </si>
  <si>
    <t>YAM</t>
  </si>
  <si>
    <t>YAV</t>
  </si>
  <si>
    <t>YAW</t>
  </si>
  <si>
    <t>YAY</t>
  </si>
  <si>
    <t>YAZ</t>
  </si>
  <si>
    <t>YBB</t>
  </si>
  <si>
    <t>YBC</t>
  </si>
  <si>
    <t>YBG</t>
  </si>
  <si>
    <t>YBK</t>
  </si>
  <si>
    <t>YBL</t>
  </si>
  <si>
    <t>YBR</t>
  </si>
  <si>
    <t>YCB</t>
  </si>
  <si>
    <t>YCD</t>
  </si>
  <si>
    <t>YCG</t>
  </si>
  <si>
    <t>YCH</t>
  </si>
  <si>
    <t>YCL</t>
  </si>
  <si>
    <t>YCO</t>
  </si>
  <si>
    <t>YCT</t>
  </si>
  <si>
    <t>YCW</t>
  </si>
  <si>
    <t>YCY</t>
  </si>
  <si>
    <t>YZS</t>
  </si>
  <si>
    <t>YDA</t>
  </si>
  <si>
    <t>YDB</t>
  </si>
  <si>
    <t>YDC</t>
  </si>
  <si>
    <t>YDF</t>
  </si>
  <si>
    <t>YDL</t>
  </si>
  <si>
    <t>YDN</t>
  </si>
  <si>
    <t>YDQ</t>
  </si>
  <si>
    <t>YEG</t>
  </si>
  <si>
    <t>YEK</t>
  </si>
  <si>
    <t>YEN</t>
  </si>
  <si>
    <t>YET</t>
  </si>
  <si>
    <t>YEU</t>
  </si>
  <si>
    <t>YEV</t>
  </si>
  <si>
    <t>YFB</t>
  </si>
  <si>
    <t>YFC</t>
  </si>
  <si>
    <t>YFO</t>
  </si>
  <si>
    <t>YFR</t>
  </si>
  <si>
    <t>YFS</t>
  </si>
  <si>
    <t>YGK</t>
  </si>
  <si>
    <t>YGL</t>
  </si>
  <si>
    <t>YGP</t>
  </si>
  <si>
    <t>YGQ</t>
  </si>
  <si>
    <t>YGR</t>
  </si>
  <si>
    <t>YHB</t>
  </si>
  <si>
    <t>YHD</t>
  </si>
  <si>
    <t>YHI</t>
  </si>
  <si>
    <t>YHK</t>
  </si>
  <si>
    <t>YHM</t>
  </si>
  <si>
    <t>YHU</t>
  </si>
  <si>
    <t>YHY</t>
  </si>
  <si>
    <t>YHZ</t>
  </si>
  <si>
    <t>YIB</t>
  </si>
  <si>
    <t>YIO</t>
  </si>
  <si>
    <t>YJN</t>
  </si>
  <si>
    <t>YJT</t>
  </si>
  <si>
    <t>YKA</t>
  </si>
  <si>
    <t>YKF</t>
  </si>
  <si>
    <t>YKL</t>
  </si>
  <si>
    <t>YKY</t>
  </si>
  <si>
    <t>YKZ</t>
  </si>
  <si>
    <t>YLD</t>
  </si>
  <si>
    <t>YLJ</t>
  </si>
  <si>
    <t>YLL</t>
  </si>
  <si>
    <t>YLT</t>
  </si>
  <si>
    <t>YLW</t>
  </si>
  <si>
    <t>YMA</t>
  </si>
  <si>
    <t>YMJ</t>
  </si>
  <si>
    <t>YMM</t>
  </si>
  <si>
    <t>YMO</t>
  </si>
  <si>
    <t>YMW</t>
  </si>
  <si>
    <t>YMX</t>
  </si>
  <si>
    <t>YNA</t>
  </si>
  <si>
    <t>YND</t>
  </si>
  <si>
    <t>YNM</t>
  </si>
  <si>
    <t>YOC</t>
  </si>
  <si>
    <t>YOD</t>
  </si>
  <si>
    <t>YOJ</t>
  </si>
  <si>
    <t>YOW</t>
  </si>
  <si>
    <t>YPA</t>
  </si>
  <si>
    <t>YPE</t>
  </si>
  <si>
    <t>YPG</t>
  </si>
  <si>
    <t>YPL</t>
  </si>
  <si>
    <t>YPN</t>
  </si>
  <si>
    <t>YPQ</t>
  </si>
  <si>
    <t>YPR</t>
  </si>
  <si>
    <t>YPY</t>
  </si>
  <si>
    <t>YQA</t>
  </si>
  <si>
    <t>YQB</t>
  </si>
  <si>
    <t>YQF</t>
  </si>
  <si>
    <t>YQG</t>
  </si>
  <si>
    <t>YQH</t>
  </si>
  <si>
    <t>YQK</t>
  </si>
  <si>
    <t>YQL</t>
  </si>
  <si>
    <t>YQM</t>
  </si>
  <si>
    <t>YQQ</t>
  </si>
  <si>
    <t>YQR</t>
  </si>
  <si>
    <t>YQT</t>
  </si>
  <si>
    <t>YQU</t>
  </si>
  <si>
    <t>YQV</t>
  </si>
  <si>
    <t>YQW</t>
  </si>
  <si>
    <t>YQX</t>
  </si>
  <si>
    <t>YQY</t>
  </si>
  <si>
    <t>YQZ</t>
  </si>
  <si>
    <t>YRB</t>
  </si>
  <si>
    <t>YRI</t>
  </si>
  <si>
    <t>YRJ</t>
  </si>
  <si>
    <t>YRM</t>
  </si>
  <si>
    <t>YRT</t>
  </si>
  <si>
    <t>YSB</t>
  </si>
  <si>
    <t>YSC</t>
  </si>
  <si>
    <t>YSJ</t>
  </si>
  <si>
    <t>YSM</t>
  </si>
  <si>
    <t>YSR</t>
  </si>
  <si>
    <t>YSU</t>
  </si>
  <si>
    <t>YSY</t>
  </si>
  <si>
    <t>YTE</t>
  </si>
  <si>
    <t>YTH</t>
  </si>
  <si>
    <t>YTR</t>
  </si>
  <si>
    <t>YTS</t>
  </si>
  <si>
    <t>YUB</t>
  </si>
  <si>
    <t>YUT</t>
  </si>
  <si>
    <t>YUX</t>
  </si>
  <si>
    <t>YUY</t>
  </si>
  <si>
    <t>YVC</t>
  </si>
  <si>
    <t>YVG</t>
  </si>
  <si>
    <t>YVM</t>
  </si>
  <si>
    <t>YVO</t>
  </si>
  <si>
    <t>YVP</t>
  </si>
  <si>
    <t>YVQ</t>
  </si>
  <si>
    <t>YVR</t>
  </si>
  <si>
    <t>YVT</t>
  </si>
  <si>
    <t>YVV</t>
  </si>
  <si>
    <t>YWA</t>
  </si>
  <si>
    <t>YWG</t>
  </si>
  <si>
    <t>YWK</t>
  </si>
  <si>
    <t>YWL</t>
  </si>
  <si>
    <t>YWY</t>
  </si>
  <si>
    <t>YXC</t>
  </si>
  <si>
    <t>YXD</t>
  </si>
  <si>
    <t>YXE</t>
  </si>
  <si>
    <t>YXH</t>
  </si>
  <si>
    <t>YXJ</t>
  </si>
  <si>
    <t>YXL</t>
  </si>
  <si>
    <t>YXP</t>
  </si>
  <si>
    <t>YXR</t>
  </si>
  <si>
    <t>YXS</t>
  </si>
  <si>
    <t>YXT</t>
  </si>
  <si>
    <t>YXU</t>
  </si>
  <si>
    <t>YXX</t>
  </si>
  <si>
    <t>YXY</t>
  </si>
  <si>
    <t>YYB</t>
  </si>
  <si>
    <t>YYC</t>
  </si>
  <si>
    <t>YYD</t>
  </si>
  <si>
    <t>YYE</t>
  </si>
  <si>
    <t>YYF</t>
  </si>
  <si>
    <t>YYG</t>
  </si>
  <si>
    <t>YYH</t>
  </si>
  <si>
    <t>YYJ</t>
  </si>
  <si>
    <t>YYL</t>
  </si>
  <si>
    <t>YYN</t>
  </si>
  <si>
    <t>YYQ</t>
  </si>
  <si>
    <t>YYR</t>
  </si>
  <si>
    <t>YYT</t>
  </si>
  <si>
    <t>YYU</t>
  </si>
  <si>
    <t>YYW</t>
  </si>
  <si>
    <t>YYY</t>
  </si>
  <si>
    <t>YZD</t>
  </si>
  <si>
    <t>YZE</t>
  </si>
  <si>
    <t>YZF</t>
  </si>
  <si>
    <t>YZH</t>
  </si>
  <si>
    <t>YZP</t>
  </si>
  <si>
    <t>YZR</t>
  </si>
  <si>
    <t>YZT</t>
  </si>
  <si>
    <t>YZU</t>
  </si>
  <si>
    <t>YZV</t>
  </si>
  <si>
    <t>YZW</t>
  </si>
  <si>
    <t>YZX</t>
  </si>
  <si>
    <t>ZFA</t>
  </si>
  <si>
    <t>ZFM</t>
  </si>
  <si>
    <t>DZA</t>
  </si>
  <si>
    <t>BJA</t>
  </si>
  <si>
    <t>ALG</t>
  </si>
  <si>
    <t>DJG</t>
  </si>
  <si>
    <t>QFD</t>
  </si>
  <si>
    <t>VVZ</t>
  </si>
  <si>
    <t>TMR</t>
  </si>
  <si>
    <t>GJL</t>
  </si>
  <si>
    <t>AAE</t>
  </si>
  <si>
    <t>CZL</t>
  </si>
  <si>
    <t>TEE</t>
  </si>
  <si>
    <t>HRM</t>
  </si>
  <si>
    <t>TID</t>
  </si>
  <si>
    <t>TIN</t>
  </si>
  <si>
    <t>QAS</t>
  </si>
  <si>
    <t>TAF</t>
  </si>
  <si>
    <t>TLM</t>
  </si>
  <si>
    <t>ORN</t>
  </si>
  <si>
    <t>MUW</t>
  </si>
  <si>
    <t>AZR</t>
  </si>
  <si>
    <t>BSK</t>
  </si>
  <si>
    <t>ELG</t>
  </si>
  <si>
    <t>HME</t>
  </si>
  <si>
    <t>INZ</t>
  </si>
  <si>
    <t>TGR</t>
  </si>
  <si>
    <t>LOO</t>
  </si>
  <si>
    <t>TMX</t>
  </si>
  <si>
    <t>OGX</t>
  </si>
  <si>
    <t>IAM</t>
  </si>
  <si>
    <t>COO</t>
  </si>
  <si>
    <t>BEN</t>
  </si>
  <si>
    <t>OUA</t>
  </si>
  <si>
    <t>BFA</t>
  </si>
  <si>
    <t>BOY</t>
  </si>
  <si>
    <t>TML</t>
  </si>
  <si>
    <t>NYI</t>
  </si>
  <si>
    <t>TKD</t>
  </si>
  <si>
    <t>ABJ</t>
  </si>
  <si>
    <t>CIV</t>
  </si>
  <si>
    <t>BYK</t>
  </si>
  <si>
    <t>DJO</t>
  </si>
  <si>
    <t>HGO</t>
  </si>
  <si>
    <t>MJC</t>
  </si>
  <si>
    <t>SPY</t>
  </si>
  <si>
    <t>ASK</t>
  </si>
  <si>
    <t>ABV</t>
  </si>
  <si>
    <t>AKR</t>
  </si>
  <si>
    <t>BNI</t>
  </si>
  <si>
    <t>CBQ</t>
  </si>
  <si>
    <t>ENU</t>
  </si>
  <si>
    <t>QUS</t>
  </si>
  <si>
    <t>IBA</t>
  </si>
  <si>
    <t>ILR</t>
  </si>
  <si>
    <t>JOS</t>
  </si>
  <si>
    <t>KAD</t>
  </si>
  <si>
    <t>KAN</t>
  </si>
  <si>
    <t>MIU</t>
  </si>
  <si>
    <t>MDI</t>
  </si>
  <si>
    <t>MXJ</t>
  </si>
  <si>
    <t>PHC</t>
  </si>
  <si>
    <t>SKO</t>
  </si>
  <si>
    <t>YOL</t>
  </si>
  <si>
    <t>ZAR</t>
  </si>
  <si>
    <t>MFQ</t>
  </si>
  <si>
    <t>NER</t>
  </si>
  <si>
    <t>NIM</t>
  </si>
  <si>
    <t>THZ</t>
  </si>
  <si>
    <t>AJY</t>
  </si>
  <si>
    <t>ZND</t>
  </si>
  <si>
    <t>MIR</t>
  </si>
  <si>
    <t>TUN</t>
  </si>
  <si>
    <t>GAF</t>
  </si>
  <si>
    <t>GAE</t>
  </si>
  <si>
    <t>DJE</t>
  </si>
  <si>
    <t>EBM</t>
  </si>
  <si>
    <t>SFA</t>
  </si>
  <si>
    <t>TOE</t>
  </si>
  <si>
    <t>LRL</t>
  </si>
  <si>
    <t>TGO</t>
  </si>
  <si>
    <t>LFW</t>
  </si>
  <si>
    <t>ANR</t>
  </si>
  <si>
    <t>CRL</t>
  </si>
  <si>
    <t>QKT</t>
  </si>
  <si>
    <t>LGG</t>
  </si>
  <si>
    <t>OST</t>
  </si>
  <si>
    <t>BBJ</t>
  </si>
  <si>
    <t>AOC</t>
  </si>
  <si>
    <t>4I7</t>
  </si>
  <si>
    <t>BBH</t>
  </si>
  <si>
    <t>SXF</t>
  </si>
  <si>
    <t>DRS</t>
  </si>
  <si>
    <t>ERF</t>
  </si>
  <si>
    <t>FMO</t>
  </si>
  <si>
    <t>HAM</t>
  </si>
  <si>
    <t>THF</t>
  </si>
  <si>
    <t>CGN</t>
  </si>
  <si>
    <t>DUS</t>
  </si>
  <si>
    <t>NUE</t>
  </si>
  <si>
    <t>LEJ</t>
  </si>
  <si>
    <t>SCN</t>
  </si>
  <si>
    <t>STR</t>
  </si>
  <si>
    <t>TXL</t>
  </si>
  <si>
    <t>HAJ</t>
  </si>
  <si>
    <t>BRE</t>
  </si>
  <si>
    <t>HHN</t>
  </si>
  <si>
    <t>MHG</t>
  </si>
  <si>
    <t>XFW</t>
  </si>
  <si>
    <t>KEL</t>
  </si>
  <si>
    <t>LBC</t>
  </si>
  <si>
    <t>ZCA</t>
  </si>
  <si>
    <t>ESS</t>
  </si>
  <si>
    <t>MGL</t>
  </si>
  <si>
    <t>PAD</t>
  </si>
  <si>
    <t>DTM</t>
  </si>
  <si>
    <t>AGB</t>
  </si>
  <si>
    <t>OBF</t>
  </si>
  <si>
    <t>FDH</t>
  </si>
  <si>
    <t>SZW</t>
  </si>
  <si>
    <t>ZSN</t>
  </si>
  <si>
    <t>BYU</t>
  </si>
  <si>
    <t>HOQ</t>
  </si>
  <si>
    <t>ZNV</t>
  </si>
  <si>
    <t>ZQF</t>
  </si>
  <si>
    <t>ZQC</t>
  </si>
  <si>
    <t>ZQL</t>
  </si>
  <si>
    <t>BWE</t>
  </si>
  <si>
    <t>KSF</t>
  </si>
  <si>
    <t>BRV</t>
  </si>
  <si>
    <t>EME</t>
  </si>
  <si>
    <t>WVN</t>
  </si>
  <si>
    <t>BMK</t>
  </si>
  <si>
    <t>NRD</t>
  </si>
  <si>
    <t>FLF</t>
  </si>
  <si>
    <t>GWT</t>
  </si>
  <si>
    <t>EST</t>
  </si>
  <si>
    <t>KDL</t>
  </si>
  <si>
    <t>URE</t>
  </si>
  <si>
    <t>EPU</t>
  </si>
  <si>
    <t>TAY</t>
  </si>
  <si>
    <t>ENF</t>
  </si>
  <si>
    <t>KEV</t>
  </si>
  <si>
    <t>HEM</t>
  </si>
  <si>
    <t>HYV</t>
  </si>
  <si>
    <t>IVL</t>
  </si>
  <si>
    <t>JOE</t>
  </si>
  <si>
    <t>JYV</t>
  </si>
  <si>
    <t>KAU</t>
  </si>
  <si>
    <t>KEM</t>
  </si>
  <si>
    <t>KAJ</t>
  </si>
  <si>
    <t>KOK</t>
  </si>
  <si>
    <t>KAO</t>
  </si>
  <si>
    <t>KTT</t>
  </si>
  <si>
    <t>KUO</t>
  </si>
  <si>
    <t>LPP</t>
  </si>
  <si>
    <t>MHQ</t>
  </si>
  <si>
    <t>MIK</t>
  </si>
  <si>
    <t>OUL</t>
  </si>
  <si>
    <t>POR</t>
  </si>
  <si>
    <t>RVN</t>
  </si>
  <si>
    <t>SVL</t>
  </si>
  <si>
    <t>SOT</t>
  </si>
  <si>
    <t>TMP</t>
  </si>
  <si>
    <t>TKU</t>
  </si>
  <si>
    <t>QVY</t>
  </si>
  <si>
    <t>VAA</t>
  </si>
  <si>
    <t>VRK</t>
  </si>
  <si>
    <t>BFS</t>
  </si>
  <si>
    <t>ENK</t>
  </si>
  <si>
    <t>BHD</t>
  </si>
  <si>
    <t>LDY</t>
  </si>
  <si>
    <t>BHX</t>
  </si>
  <si>
    <t>CVT</t>
  </si>
  <si>
    <t>GLO</t>
  </si>
  <si>
    <t>MAN</t>
  </si>
  <si>
    <t>NQY</t>
  </si>
  <si>
    <t>LYE</t>
  </si>
  <si>
    <t>YEO</t>
  </si>
  <si>
    <t>CWL</t>
  </si>
  <si>
    <t>SWS</t>
  </si>
  <si>
    <t>BRS</t>
  </si>
  <si>
    <t>LPL</t>
  </si>
  <si>
    <t>LTN</t>
  </si>
  <si>
    <t>PLH</t>
  </si>
  <si>
    <t>BOH</t>
  </si>
  <si>
    <t>SOU</t>
  </si>
  <si>
    <t>QLA</t>
  </si>
  <si>
    <t>ACI</t>
  </si>
  <si>
    <t>GGY</t>
  </si>
  <si>
    <t>GCI</t>
  </si>
  <si>
    <t>JER</t>
  </si>
  <si>
    <t>JEY</t>
  </si>
  <si>
    <t>ESH</t>
  </si>
  <si>
    <t>BQH</t>
  </si>
  <si>
    <t>LCY</t>
  </si>
  <si>
    <t>FAB</t>
  </si>
  <si>
    <t>BBS</t>
  </si>
  <si>
    <t>LYX</t>
  </si>
  <si>
    <t>MSE</t>
  </si>
  <si>
    <t>CAX</t>
  </si>
  <si>
    <t>BLK</t>
  </si>
  <si>
    <t>HUY</t>
  </si>
  <si>
    <t>BWF</t>
  </si>
  <si>
    <t>LBA</t>
  </si>
  <si>
    <t>CEG</t>
  </si>
  <si>
    <t>IOM</t>
  </si>
  <si>
    <t>IMN</t>
  </si>
  <si>
    <t>NCL</t>
  </si>
  <si>
    <t>MME</t>
  </si>
  <si>
    <t>EMA</t>
  </si>
  <si>
    <t>KOI</t>
  </si>
  <si>
    <t>LSI</t>
  </si>
  <si>
    <t>WIC</t>
  </si>
  <si>
    <t>ABZ</t>
  </si>
  <si>
    <t>INV</t>
  </si>
  <si>
    <t>GLA</t>
  </si>
  <si>
    <t>EDI</t>
  </si>
  <si>
    <t>ILY</t>
  </si>
  <si>
    <t>PIK</t>
  </si>
  <si>
    <t>BEB</t>
  </si>
  <si>
    <t>SDZ</t>
  </si>
  <si>
    <t>DND</t>
  </si>
  <si>
    <t>SYY</t>
  </si>
  <si>
    <t>TRE</t>
  </si>
  <si>
    <t>ADX</t>
  </si>
  <si>
    <t>LMO</t>
  </si>
  <si>
    <t>CBG</t>
  </si>
  <si>
    <t>NWI</t>
  </si>
  <si>
    <t>STN</t>
  </si>
  <si>
    <t>EXT</t>
  </si>
  <si>
    <t>FZO</t>
  </si>
  <si>
    <t>OXF</t>
  </si>
  <si>
    <t>MHZ</t>
  </si>
  <si>
    <t>FFD</t>
  </si>
  <si>
    <t>BZZ</t>
  </si>
  <si>
    <t>ODH</t>
  </si>
  <si>
    <t>NHT</t>
  </si>
  <si>
    <t>QCY</t>
  </si>
  <si>
    <t>BEQ</t>
  </si>
  <si>
    <t>WTN</t>
  </si>
  <si>
    <t>KNF</t>
  </si>
  <si>
    <t>MPN</t>
  </si>
  <si>
    <t>FLK</t>
  </si>
  <si>
    <t>MST</t>
  </si>
  <si>
    <t>EIN</t>
  </si>
  <si>
    <t>GRQ</t>
  </si>
  <si>
    <t>DHR</t>
  </si>
  <si>
    <t>LWR</t>
  </si>
  <si>
    <t>RTM</t>
  </si>
  <si>
    <t>UTC</t>
  </si>
  <si>
    <t>ENS</t>
  </si>
  <si>
    <t>LID</t>
  </si>
  <si>
    <t>WOE</t>
  </si>
  <si>
    <t>ORK</t>
  </si>
  <si>
    <t>GWY</t>
  </si>
  <si>
    <t>NOC</t>
  </si>
  <si>
    <t>KIR</t>
  </si>
  <si>
    <t>SNN</t>
  </si>
  <si>
    <t>SXL</t>
  </si>
  <si>
    <t>WAT</t>
  </si>
  <si>
    <t>AAR</t>
  </si>
  <si>
    <t>BLL</t>
  </si>
  <si>
    <t>EBJ</t>
  </si>
  <si>
    <t>KRP</t>
  </si>
  <si>
    <t>ODE</t>
  </si>
  <si>
    <t>RKE</t>
  </si>
  <si>
    <t>RNN</t>
  </si>
  <si>
    <t>SGD</t>
  </si>
  <si>
    <t>SKS</t>
  </si>
  <si>
    <t>TED</t>
  </si>
  <si>
    <t>FAE</t>
  </si>
  <si>
    <t>FRO</t>
  </si>
  <si>
    <t>STA</t>
  </si>
  <si>
    <t>AAL</t>
  </si>
  <si>
    <t>LUX</t>
  </si>
  <si>
    <t>AES</t>
  </si>
  <si>
    <t>NOR</t>
  </si>
  <si>
    <t>ANX</t>
  </si>
  <si>
    <t>ALF</t>
  </si>
  <si>
    <t>BNN</t>
  </si>
  <si>
    <t>BOO</t>
  </si>
  <si>
    <t>BGO</t>
  </si>
  <si>
    <t>BJF</t>
  </si>
  <si>
    <t>KRS</t>
  </si>
  <si>
    <t>BDU</t>
  </si>
  <si>
    <t>EVE</t>
  </si>
  <si>
    <t>VDB</t>
  </si>
  <si>
    <t>OSL</t>
  </si>
  <si>
    <t>HAU</t>
  </si>
  <si>
    <t>HAA</t>
  </si>
  <si>
    <t>KSU</t>
  </si>
  <si>
    <t>KKN</t>
  </si>
  <si>
    <t>FAN</t>
  </si>
  <si>
    <t>MOL</t>
  </si>
  <si>
    <t>MJF</t>
  </si>
  <si>
    <t>LKL</t>
  </si>
  <si>
    <t>NTB</t>
  </si>
  <si>
    <t>OLA</t>
  </si>
  <si>
    <t>RRS</t>
  </si>
  <si>
    <t>RYG</t>
  </si>
  <si>
    <t>LYR</t>
  </si>
  <si>
    <t>SKE</t>
  </si>
  <si>
    <t>SRP</t>
  </si>
  <si>
    <t>SSJ</t>
  </si>
  <si>
    <t>TOS</t>
  </si>
  <si>
    <t>TRF</t>
  </si>
  <si>
    <t>TRD</t>
  </si>
  <si>
    <t>SVG</t>
  </si>
  <si>
    <t>GDN</t>
  </si>
  <si>
    <t>KRK</t>
  </si>
  <si>
    <t>KTW</t>
  </si>
  <si>
    <t>POZ</t>
  </si>
  <si>
    <t>RZE</t>
  </si>
  <si>
    <t>SZZ</t>
  </si>
  <si>
    <t>OSP</t>
  </si>
  <si>
    <t>WAW</t>
  </si>
  <si>
    <t>WRO</t>
  </si>
  <si>
    <t>IEG</t>
  </si>
  <si>
    <t>SWE</t>
  </si>
  <si>
    <t>RNB</t>
  </si>
  <si>
    <t>GOT</t>
  </si>
  <si>
    <t>JKG</t>
  </si>
  <si>
    <t>LDK</t>
  </si>
  <si>
    <t>GSE</t>
  </si>
  <si>
    <t>KVB</t>
  </si>
  <si>
    <t>THN</t>
  </si>
  <si>
    <t>KSK</t>
  </si>
  <si>
    <t>MXX</t>
  </si>
  <si>
    <t>NYO</t>
  </si>
  <si>
    <t>KID</t>
  </si>
  <si>
    <t>JLD</t>
  </si>
  <si>
    <t>OSK</t>
  </si>
  <si>
    <t>KLR</t>
  </si>
  <si>
    <t>MMX</t>
  </si>
  <si>
    <t>HAD</t>
  </si>
  <si>
    <t>VXO</t>
  </si>
  <si>
    <t>EVG</t>
  </si>
  <si>
    <t>GEV</t>
  </si>
  <si>
    <t>HUV</t>
  </si>
  <si>
    <t>KRF</t>
  </si>
  <si>
    <t>LYC</t>
  </si>
  <si>
    <t>SDL</t>
  </si>
  <si>
    <t>OER</t>
  </si>
  <si>
    <t>KRN</t>
  </si>
  <si>
    <t>SFT</t>
  </si>
  <si>
    <t>UME</t>
  </si>
  <si>
    <t>VHM</t>
  </si>
  <si>
    <t>AJR</t>
  </si>
  <si>
    <t>ORB</t>
  </si>
  <si>
    <t>VST</t>
  </si>
  <si>
    <t>LLA</t>
  </si>
  <si>
    <t>ARN</t>
  </si>
  <si>
    <t>BMA</t>
  </si>
  <si>
    <t>BLE</t>
  </si>
  <si>
    <t>HLF</t>
  </si>
  <si>
    <t>GVX</t>
  </si>
  <si>
    <t>LPI</t>
  </si>
  <si>
    <t>NRK</t>
  </si>
  <si>
    <t>VBY</t>
  </si>
  <si>
    <t>SPM</t>
  </si>
  <si>
    <t>RMS</t>
  </si>
  <si>
    <t>GHF</t>
  </si>
  <si>
    <t>ZCN</t>
  </si>
  <si>
    <t>ZNF</t>
  </si>
  <si>
    <t>GKE</t>
  </si>
  <si>
    <t>RLG</t>
  </si>
  <si>
    <t>FEL</t>
  </si>
  <si>
    <t>GUT</t>
  </si>
  <si>
    <t>ALJ</t>
  </si>
  <si>
    <t>AGZ</t>
  </si>
  <si>
    <t>BIY</t>
  </si>
  <si>
    <t>BFN</t>
  </si>
  <si>
    <t>CPT</t>
  </si>
  <si>
    <t>DUR</t>
  </si>
  <si>
    <t>ELS</t>
  </si>
  <si>
    <t>GCJ</t>
  </si>
  <si>
    <t>GRJ</t>
  </si>
  <si>
    <t>HDS</t>
  </si>
  <si>
    <t>KIM</t>
  </si>
  <si>
    <t>KLZ</t>
  </si>
  <si>
    <t>HLA</t>
  </si>
  <si>
    <t>LAY</t>
  </si>
  <si>
    <t>MGH</t>
  </si>
  <si>
    <t>MEZ</t>
  </si>
  <si>
    <t>NCS</t>
  </si>
  <si>
    <t>DUH</t>
  </si>
  <si>
    <t>PLZ</t>
  </si>
  <si>
    <t>PHW</t>
  </si>
  <si>
    <t>PTG</t>
  </si>
  <si>
    <t>PZB</t>
  </si>
  <si>
    <t>NTY</t>
  </si>
  <si>
    <t>UTW</t>
  </si>
  <si>
    <t>RCB</t>
  </si>
  <si>
    <t>SBU</t>
  </si>
  <si>
    <t>SIS</t>
  </si>
  <si>
    <t>SZK</t>
  </si>
  <si>
    <t>LTA</t>
  </si>
  <si>
    <t>ULD</t>
  </si>
  <si>
    <t>UTN</t>
  </si>
  <si>
    <t>UTT</t>
  </si>
  <si>
    <t>VRU</t>
  </si>
  <si>
    <t>VIR</t>
  </si>
  <si>
    <t>PRY</t>
  </si>
  <si>
    <t>WEL</t>
  </si>
  <si>
    <t>FRW</t>
  </si>
  <si>
    <t>BWA</t>
  </si>
  <si>
    <t>JWA</t>
  </si>
  <si>
    <t>BBK</t>
  </si>
  <si>
    <t>MUB</t>
  </si>
  <si>
    <t>GBE</t>
  </si>
  <si>
    <t>PKW</t>
  </si>
  <si>
    <t>BZV</t>
  </si>
  <si>
    <t>FTX</t>
  </si>
  <si>
    <t>NULL</t>
  </si>
  <si>
    <t>OUE</t>
  </si>
  <si>
    <t>MTS</t>
  </si>
  <si>
    <t>SWZ</t>
  </si>
  <si>
    <t>BGF</t>
  </si>
  <si>
    <t>CAF</t>
  </si>
  <si>
    <t>BBT</t>
  </si>
  <si>
    <t>BSG</t>
  </si>
  <si>
    <t>GNQ</t>
  </si>
  <si>
    <t>SSG</t>
  </si>
  <si>
    <t>SHN</t>
  </si>
  <si>
    <t>MRU</t>
  </si>
  <si>
    <t>MUS</t>
  </si>
  <si>
    <t>RRG</t>
  </si>
  <si>
    <t>IOT</t>
  </si>
  <si>
    <t>TKC</t>
  </si>
  <si>
    <t>CMR</t>
  </si>
  <si>
    <t>DLA</t>
  </si>
  <si>
    <t>MVR</t>
  </si>
  <si>
    <t>FOM</t>
  </si>
  <si>
    <t>NGE</t>
  </si>
  <si>
    <t>GOU</t>
  </si>
  <si>
    <t>BFX</t>
  </si>
  <si>
    <t>BPC</t>
  </si>
  <si>
    <t>YAO</t>
  </si>
  <si>
    <t>ZMB</t>
  </si>
  <si>
    <t>LUN</t>
  </si>
  <si>
    <t>MFU</t>
  </si>
  <si>
    <t>NLA</t>
  </si>
  <si>
    <t>KIW</t>
  </si>
  <si>
    <t>HAH</t>
  </si>
  <si>
    <t>COM</t>
  </si>
  <si>
    <t>NWA</t>
  </si>
  <si>
    <t>AJN</t>
  </si>
  <si>
    <t>MYT</t>
  </si>
  <si>
    <t>RUN</t>
  </si>
  <si>
    <t>REU</t>
  </si>
  <si>
    <t>ZSE</t>
  </si>
  <si>
    <t>TNR</t>
  </si>
  <si>
    <t>MDG</t>
  </si>
  <si>
    <t>ZVA</t>
  </si>
  <si>
    <t>SMS</t>
  </si>
  <si>
    <t>TMM</t>
  </si>
  <si>
    <t>MOQ</t>
  </si>
  <si>
    <t>DIE</t>
  </si>
  <si>
    <t>WMR</t>
  </si>
  <si>
    <t>ZWA</t>
  </si>
  <si>
    <t>AMB</t>
  </si>
  <si>
    <t>ANM</t>
  </si>
  <si>
    <t>HVA</t>
  </si>
  <si>
    <t>MJN</t>
  </si>
  <si>
    <t>NOS</t>
  </si>
  <si>
    <t>BPY</t>
  </si>
  <si>
    <t>WMN</t>
  </si>
  <si>
    <t>SVB</t>
  </si>
  <si>
    <t>VOH</t>
  </si>
  <si>
    <t>WAI</t>
  </si>
  <si>
    <t>FTU</t>
  </si>
  <si>
    <t>WFI</t>
  </si>
  <si>
    <t>RVA</t>
  </si>
  <si>
    <t>WVK</t>
  </si>
  <si>
    <t>MNJ</t>
  </si>
  <si>
    <t>MXM</t>
  </si>
  <si>
    <t>TLE</t>
  </si>
  <si>
    <t>SSY</t>
  </si>
  <si>
    <t>AGO</t>
  </si>
  <si>
    <t>BUG</t>
  </si>
  <si>
    <t>CAB</t>
  </si>
  <si>
    <t>CPX</t>
  </si>
  <si>
    <t>NOV</t>
  </si>
  <si>
    <t>SVP</t>
  </si>
  <si>
    <t>LAD</t>
  </si>
  <si>
    <t>MEG</t>
  </si>
  <si>
    <t>SPP</t>
  </si>
  <si>
    <t>GXG</t>
  </si>
  <si>
    <t>PBN</t>
  </si>
  <si>
    <t>VHC</t>
  </si>
  <si>
    <t>SZA</t>
  </si>
  <si>
    <t>SDD</t>
  </si>
  <si>
    <t>LUO</t>
  </si>
  <si>
    <t>UGO</t>
  </si>
  <si>
    <t>XGN</t>
  </si>
  <si>
    <t>OYE</t>
  </si>
  <si>
    <t>GAB</t>
  </si>
  <si>
    <t>OKN</t>
  </si>
  <si>
    <t>LBQ</t>
  </si>
  <si>
    <t>BMM</t>
  </si>
  <si>
    <t>POG</t>
  </si>
  <si>
    <t>OMB</t>
  </si>
  <si>
    <t>MKU</t>
  </si>
  <si>
    <t>LBV</t>
  </si>
  <si>
    <t>MVB</t>
  </si>
  <si>
    <t>PCP</t>
  </si>
  <si>
    <t>STP</t>
  </si>
  <si>
    <t>TMS</t>
  </si>
  <si>
    <t>BEW</t>
  </si>
  <si>
    <t>MOZ</t>
  </si>
  <si>
    <t>INH</t>
  </si>
  <si>
    <t>VXC</t>
  </si>
  <si>
    <t>MPM</t>
  </si>
  <si>
    <t>MZB</t>
  </si>
  <si>
    <t>MNC</t>
  </si>
  <si>
    <t>APL</t>
  </si>
  <si>
    <t>UEL</t>
  </si>
  <si>
    <t>TET</t>
  </si>
  <si>
    <t>VNX</t>
  </si>
  <si>
    <t>SYC</t>
  </si>
  <si>
    <t>DES</t>
  </si>
  <si>
    <t>AEH</t>
  </si>
  <si>
    <t>TCD</t>
  </si>
  <si>
    <t>MQQ</t>
  </si>
  <si>
    <t>NDJ</t>
  </si>
  <si>
    <t>FYT</t>
  </si>
  <si>
    <t>BUQ</t>
  </si>
  <si>
    <t>BFO</t>
  </si>
  <si>
    <t>VFA</t>
  </si>
  <si>
    <t>HRE</t>
  </si>
  <si>
    <t>KAB</t>
  </si>
  <si>
    <t>MVZ</t>
  </si>
  <si>
    <t>GWE</t>
  </si>
  <si>
    <t>WKM</t>
  </si>
  <si>
    <t>KGJ</t>
  </si>
  <si>
    <t>LLW</t>
  </si>
  <si>
    <t>ZZU</t>
  </si>
  <si>
    <t>MSU</t>
  </si>
  <si>
    <t>LSO</t>
  </si>
  <si>
    <t>FIH</t>
  </si>
  <si>
    <t>NLO</t>
  </si>
  <si>
    <t>MNB</t>
  </si>
  <si>
    <t>FDU</t>
  </si>
  <si>
    <t>KKW</t>
  </si>
  <si>
    <t>MDK</t>
  </si>
  <si>
    <t>BDT</t>
  </si>
  <si>
    <t>GMA</t>
  </si>
  <si>
    <t>LIQ</t>
  </si>
  <si>
    <t>FKI</t>
  </si>
  <si>
    <t>IRP</t>
  </si>
  <si>
    <t>BUX</t>
  </si>
  <si>
    <t>BKY</t>
  </si>
  <si>
    <t>GOM</t>
  </si>
  <si>
    <t>KND</t>
  </si>
  <si>
    <t>FBM</t>
  </si>
  <si>
    <t>KWZ</t>
  </si>
  <si>
    <t>FMI</t>
  </si>
  <si>
    <t>KMN</t>
  </si>
  <si>
    <t>KGA</t>
  </si>
  <si>
    <t>MJM</t>
  </si>
  <si>
    <t>BKO</t>
  </si>
  <si>
    <t>MLI</t>
  </si>
  <si>
    <t>GAQ</t>
  </si>
  <si>
    <t>KYS</t>
  </si>
  <si>
    <t>MZI</t>
  </si>
  <si>
    <t>TOM</t>
  </si>
  <si>
    <t>BJL</t>
  </si>
  <si>
    <t>GMB</t>
  </si>
  <si>
    <t>FUE</t>
  </si>
  <si>
    <t>VDE</t>
  </si>
  <si>
    <t>SPC</t>
  </si>
  <si>
    <t>LPA</t>
  </si>
  <si>
    <t>ACE</t>
  </si>
  <si>
    <t>TFS</t>
  </si>
  <si>
    <t>TFN</t>
  </si>
  <si>
    <t>MLN</t>
  </si>
  <si>
    <t>SLE</t>
  </si>
  <si>
    <t>GNB</t>
  </si>
  <si>
    <t>MLW</t>
  </si>
  <si>
    <t>LBR</t>
  </si>
  <si>
    <t>AGA</t>
  </si>
  <si>
    <t>TTA</t>
  </si>
  <si>
    <t>FEZ</t>
  </si>
  <si>
    <t>ERH</t>
  </si>
  <si>
    <t>MEK</t>
  </si>
  <si>
    <t>OUD</t>
  </si>
  <si>
    <t>RBA</t>
  </si>
  <si>
    <t>RAK</t>
  </si>
  <si>
    <t>NNA</t>
  </si>
  <si>
    <t>OZZ</t>
  </si>
  <si>
    <t>AHU</t>
  </si>
  <si>
    <t>TTU</t>
  </si>
  <si>
    <t>TNG</t>
  </si>
  <si>
    <t>ZIG</t>
  </si>
  <si>
    <t>CSK</t>
  </si>
  <si>
    <t>KLC</t>
  </si>
  <si>
    <t>XLS</t>
  </si>
  <si>
    <t>BXE</t>
  </si>
  <si>
    <t>KGG</t>
  </si>
  <si>
    <t>TUD</t>
  </si>
  <si>
    <t>IEO</t>
  </si>
  <si>
    <t>MRT</t>
  </si>
  <si>
    <t>TIY</t>
  </si>
  <si>
    <t>KFA</t>
  </si>
  <si>
    <t>EMN</t>
  </si>
  <si>
    <t>KED</t>
  </si>
  <si>
    <t>NKC</t>
  </si>
  <si>
    <t>SEY</t>
  </si>
  <si>
    <t>ATR</t>
  </si>
  <si>
    <t>NDB</t>
  </si>
  <si>
    <t>FIG</t>
  </si>
  <si>
    <t>FAA</t>
  </si>
  <si>
    <t>LEK</t>
  </si>
  <si>
    <t>SID</t>
  </si>
  <si>
    <t>CPV</t>
  </si>
  <si>
    <t>BVC</t>
  </si>
  <si>
    <t>MMO</t>
  </si>
  <si>
    <t>SNE</t>
  </si>
  <si>
    <t>VXE</t>
  </si>
  <si>
    <t>AMH</t>
  </si>
  <si>
    <t>AXU</t>
  </si>
  <si>
    <t>BJR</t>
  </si>
  <si>
    <t>DIR</t>
  </si>
  <si>
    <t>GDQ</t>
  </si>
  <si>
    <t>MDV</t>
  </si>
  <si>
    <t>JIM</t>
  </si>
  <si>
    <t>LLI</t>
  </si>
  <si>
    <t>MQX</t>
  </si>
  <si>
    <t>ASO</t>
  </si>
  <si>
    <t>BJM</t>
  </si>
  <si>
    <t>BDI</t>
  </si>
  <si>
    <t>HGA</t>
  </si>
  <si>
    <t>SOM</t>
  </si>
  <si>
    <t>BBO</t>
  </si>
  <si>
    <t>KMU</t>
  </si>
  <si>
    <t>C91</t>
  </si>
  <si>
    <t>ALY</t>
  </si>
  <si>
    <t>ABS</t>
  </si>
  <si>
    <t>HRG</t>
  </si>
  <si>
    <t>EGR</t>
  </si>
  <si>
    <t>LXR</t>
  </si>
  <si>
    <t>MUH</t>
  </si>
  <si>
    <t>PSD</t>
  </si>
  <si>
    <t>SKV</t>
  </si>
  <si>
    <t>ASW</t>
  </si>
  <si>
    <t>ELT</t>
  </si>
  <si>
    <t>EDL</t>
  </si>
  <si>
    <t>KIS</t>
  </si>
  <si>
    <t>KTL</t>
  </si>
  <si>
    <t>CDI</t>
  </si>
  <si>
    <t>LOK</t>
  </si>
  <si>
    <t>LAU</t>
  </si>
  <si>
    <t>MBA</t>
  </si>
  <si>
    <t>WIL</t>
  </si>
  <si>
    <t>WJR</t>
  </si>
  <si>
    <t>LBY</t>
  </si>
  <si>
    <t>GHT</t>
  </si>
  <si>
    <t>AKF</t>
  </si>
  <si>
    <t>SEB</t>
  </si>
  <si>
    <t>TIP</t>
  </si>
  <si>
    <t>LTD</t>
  </si>
  <si>
    <t>GYI</t>
  </si>
  <si>
    <t>KME</t>
  </si>
  <si>
    <t>DOG</t>
  </si>
  <si>
    <t>ELF</t>
  </si>
  <si>
    <t>KSL</t>
  </si>
  <si>
    <t>EBD</t>
  </si>
  <si>
    <t>MAK</t>
  </si>
  <si>
    <t>KRT</t>
  </si>
  <si>
    <t>ARK</t>
  </si>
  <si>
    <t>DOD</t>
  </si>
  <si>
    <t>IRI</t>
  </si>
  <si>
    <t>LKY</t>
  </si>
  <si>
    <t>MYW</t>
  </si>
  <si>
    <t>MWZ</t>
  </si>
  <si>
    <t>PMA</t>
  </si>
  <si>
    <t>TGT</t>
  </si>
  <si>
    <t>ZNZ</t>
  </si>
  <si>
    <t>QDU</t>
  </si>
  <si>
    <t>SRT</t>
  </si>
  <si>
    <t>TIA</t>
  </si>
  <si>
    <t>ALB</t>
  </si>
  <si>
    <t>BOJ</t>
  </si>
  <si>
    <t>BGR</t>
  </si>
  <si>
    <t>GOZ</t>
  </si>
  <si>
    <t>PDV</t>
  </si>
  <si>
    <t>SOF</t>
  </si>
  <si>
    <t>VAR</t>
  </si>
  <si>
    <t>LCA</t>
  </si>
  <si>
    <t>CYP</t>
  </si>
  <si>
    <t>PFO</t>
  </si>
  <si>
    <t>AKT</t>
  </si>
  <si>
    <t>DBV</t>
  </si>
  <si>
    <t>HRV</t>
  </si>
  <si>
    <t>OSI</t>
  </si>
  <si>
    <t>PUY</t>
  </si>
  <si>
    <t>RJK</t>
  </si>
  <si>
    <t>SPU</t>
  </si>
  <si>
    <t>ZAG</t>
  </si>
  <si>
    <t>ZAD</t>
  </si>
  <si>
    <t>ALC</t>
  </si>
  <si>
    <t>LEI</t>
  </si>
  <si>
    <t>OVD</t>
  </si>
  <si>
    <t>ODB</t>
  </si>
  <si>
    <t>BIO</t>
  </si>
  <si>
    <t>BCN</t>
  </si>
  <si>
    <t>BJZ</t>
  </si>
  <si>
    <t>LCG</t>
  </si>
  <si>
    <t>GRO</t>
  </si>
  <si>
    <t>GRX</t>
  </si>
  <si>
    <t>IBZ</t>
  </si>
  <si>
    <t>XRY</t>
  </si>
  <si>
    <t>MJV</t>
  </si>
  <si>
    <t>PKH</t>
  </si>
  <si>
    <t>MAD</t>
  </si>
  <si>
    <t>AGP</t>
  </si>
  <si>
    <t>MAH</t>
  </si>
  <si>
    <t>OZP</t>
  </si>
  <si>
    <t>PNA</t>
  </si>
  <si>
    <t>SLM</t>
  </si>
  <si>
    <t>EAS</t>
  </si>
  <si>
    <t>SCQ</t>
  </si>
  <si>
    <t>LEU</t>
  </si>
  <si>
    <t>TOJ</t>
  </si>
  <si>
    <t>VLC</t>
  </si>
  <si>
    <t>VLL</t>
  </si>
  <si>
    <t>VIT</t>
  </si>
  <si>
    <t>VGO</t>
  </si>
  <si>
    <t>SDR</t>
  </si>
  <si>
    <t>ZAZ</t>
  </si>
  <si>
    <t>SVQ</t>
  </si>
  <si>
    <t>CQF</t>
  </si>
  <si>
    <t>LTQ</t>
  </si>
  <si>
    <t>AGF</t>
  </si>
  <si>
    <t>BOD</t>
  </si>
  <si>
    <t>EGC</t>
  </si>
  <si>
    <t>CNG</t>
  </si>
  <si>
    <t>PIS</t>
  </si>
  <si>
    <t>LIG</t>
  </si>
  <si>
    <t>NIT</t>
  </si>
  <si>
    <t>TLS</t>
  </si>
  <si>
    <t>PUF</t>
  </si>
  <si>
    <t>LDE</t>
  </si>
  <si>
    <t>ANG</t>
  </si>
  <si>
    <t>BVE</t>
  </si>
  <si>
    <t>PGX</t>
  </si>
  <si>
    <t>BIQ</t>
  </si>
  <si>
    <t>XAC</t>
  </si>
  <si>
    <t>LBI</t>
  </si>
  <si>
    <t>DCM</t>
  </si>
  <si>
    <t>RDZ</t>
  </si>
  <si>
    <t>RYN</t>
  </si>
  <si>
    <t>RCO</t>
  </si>
  <si>
    <t>DLE</t>
  </si>
  <si>
    <t>OBS</t>
  </si>
  <si>
    <t>LPY</t>
  </si>
  <si>
    <t>XBK</t>
  </si>
  <si>
    <t>XVF</t>
  </si>
  <si>
    <t>XMU</t>
  </si>
  <si>
    <t>ETZ</t>
  </si>
  <si>
    <t>BIA</t>
  </si>
  <si>
    <t>CLY</t>
  </si>
  <si>
    <t>FSC</t>
  </si>
  <si>
    <t>AJA</t>
  </si>
  <si>
    <t>SOZ</t>
  </si>
  <si>
    <t>AUF</t>
  </si>
  <si>
    <t>CMF</t>
  </si>
  <si>
    <t>CFE</t>
  </si>
  <si>
    <t>BOU</t>
  </si>
  <si>
    <t>XCD</t>
  </si>
  <si>
    <t>QNJ</t>
  </si>
  <si>
    <t>LYS</t>
  </si>
  <si>
    <t>QNX</t>
  </si>
  <si>
    <t>RNE</t>
  </si>
  <si>
    <t>NCY</t>
  </si>
  <si>
    <t>MCU</t>
  </si>
  <si>
    <t>VAF</t>
  </si>
  <si>
    <t>VHY</t>
  </si>
  <si>
    <t>AUR</t>
  </si>
  <si>
    <t>CHR</t>
  </si>
  <si>
    <t>LYN</t>
  </si>
  <si>
    <t>QXB</t>
  </si>
  <si>
    <t>CEQ</t>
  </si>
  <si>
    <t>EBU</t>
  </si>
  <si>
    <t>CCF</t>
  </si>
  <si>
    <t>MRS</t>
  </si>
  <si>
    <t>NCE</t>
  </si>
  <si>
    <t>PGF</t>
  </si>
  <si>
    <t>CTT</t>
  </si>
  <si>
    <t>MPL</t>
  </si>
  <si>
    <t>BZR</t>
  </si>
  <si>
    <t>AVN</t>
  </si>
  <si>
    <t>MEN</t>
  </si>
  <si>
    <t>BVA</t>
  </si>
  <si>
    <t>LEH</t>
  </si>
  <si>
    <t>ORE</t>
  </si>
  <si>
    <t>XCR</t>
  </si>
  <si>
    <t>URO</t>
  </si>
  <si>
    <t>TUF</t>
  </si>
  <si>
    <t>CET</t>
  </si>
  <si>
    <t>LVA</t>
  </si>
  <si>
    <t>LBG</t>
  </si>
  <si>
    <t>CSF</t>
  </si>
  <si>
    <t>TNF</t>
  </si>
  <si>
    <t>ORY</t>
  </si>
  <si>
    <t>POX</t>
  </si>
  <si>
    <t>QYR</t>
  </si>
  <si>
    <t>NVS</t>
  </si>
  <si>
    <t>LIL</t>
  </si>
  <si>
    <t>BES</t>
  </si>
  <si>
    <t>CER</t>
  </si>
  <si>
    <t>DNR</t>
  </si>
  <si>
    <t>GFR</t>
  </si>
  <si>
    <t>DOL</t>
  </si>
  <si>
    <t>LRT</t>
  </si>
  <si>
    <t>EDM</t>
  </si>
  <si>
    <t>CFR</t>
  </si>
  <si>
    <t>LME</t>
  </si>
  <si>
    <t>RNS</t>
  </si>
  <si>
    <t>LAI</t>
  </si>
  <si>
    <t>UIP</t>
  </si>
  <si>
    <t>NTE</t>
  </si>
  <si>
    <t>SBK</t>
  </si>
  <si>
    <t>MXN</t>
  </si>
  <si>
    <t>VNE</t>
  </si>
  <si>
    <t>SNR</t>
  </si>
  <si>
    <t>MLH</t>
  </si>
  <si>
    <t>DIJ</t>
  </si>
  <si>
    <t>MZM</t>
  </si>
  <si>
    <t>EPL</t>
  </si>
  <si>
    <t>ENC</t>
  </si>
  <si>
    <t>RHE</t>
  </si>
  <si>
    <t>SXB</t>
  </si>
  <si>
    <t>TLN</t>
  </si>
  <si>
    <t>FNI</t>
  </si>
  <si>
    <t>MQC</t>
  </si>
  <si>
    <t>FSP</t>
  </si>
  <si>
    <t>PYR</t>
  </si>
  <si>
    <t>AGQ</t>
  </si>
  <si>
    <t>AXD</t>
  </si>
  <si>
    <t>VOL</t>
  </si>
  <si>
    <t>JKH</t>
  </si>
  <si>
    <t>IOA</t>
  </si>
  <si>
    <t>HER</t>
  </si>
  <si>
    <t>KSO</t>
  </si>
  <si>
    <t>KIT</t>
  </si>
  <si>
    <t>EFL</t>
  </si>
  <si>
    <t>KLX</t>
  </si>
  <si>
    <t>KGS</t>
  </si>
  <si>
    <t>AOK</t>
  </si>
  <si>
    <t>CFU</t>
  </si>
  <si>
    <t>KSJ</t>
  </si>
  <si>
    <t>KVA</t>
  </si>
  <si>
    <t>KZI</t>
  </si>
  <si>
    <t>LRS</t>
  </si>
  <si>
    <t>LXS</t>
  </si>
  <si>
    <t>LRA</t>
  </si>
  <si>
    <t>JMK</t>
  </si>
  <si>
    <t>MJT</t>
  </si>
  <si>
    <t>PVK</t>
  </si>
  <si>
    <t>RHO</t>
  </si>
  <si>
    <t>GPA</t>
  </si>
  <si>
    <t>CHQ</t>
  </si>
  <si>
    <t>JSI</t>
  </si>
  <si>
    <t>SMI</t>
  </si>
  <si>
    <t>LYM</t>
  </si>
  <si>
    <t>JTR</t>
  </si>
  <si>
    <t>JSH</t>
  </si>
  <si>
    <t>SKU</t>
  </si>
  <si>
    <t>SKG</t>
  </si>
  <si>
    <t>ZTH</t>
  </si>
  <si>
    <t>BUD</t>
  </si>
  <si>
    <t>DEB</t>
  </si>
  <si>
    <t>SUE</t>
  </si>
  <si>
    <t>CRV</t>
  </si>
  <si>
    <t>BRI</t>
  </si>
  <si>
    <t>FOG</t>
  </si>
  <si>
    <t>TAR</t>
  </si>
  <si>
    <t>LCC</t>
  </si>
  <si>
    <t>PSR</t>
  </si>
  <si>
    <t>BDS</t>
  </si>
  <si>
    <t>SUF</t>
  </si>
  <si>
    <t>CTA</t>
  </si>
  <si>
    <t>LMP</t>
  </si>
  <si>
    <t>PNL</t>
  </si>
  <si>
    <t>PMO</t>
  </si>
  <si>
    <t>REG</t>
  </si>
  <si>
    <t>TPS</t>
  </si>
  <si>
    <t>NSY</t>
  </si>
  <si>
    <t>AHO</t>
  </si>
  <si>
    <t>DCI</t>
  </si>
  <si>
    <t>CAG</t>
  </si>
  <si>
    <t>OLB</t>
  </si>
  <si>
    <t>TTB</t>
  </si>
  <si>
    <t>MXP</t>
  </si>
  <si>
    <t>BGY</t>
  </si>
  <si>
    <t>TRN</t>
  </si>
  <si>
    <t>ALL</t>
  </si>
  <si>
    <t>GOA</t>
  </si>
  <si>
    <t>LIN</t>
  </si>
  <si>
    <t>PMF</t>
  </si>
  <si>
    <t>QPZ</t>
  </si>
  <si>
    <t>0P2</t>
  </si>
  <si>
    <t>CUF</t>
  </si>
  <si>
    <t>AVB</t>
  </si>
  <si>
    <t>BZO</t>
  </si>
  <si>
    <t>BLQ</t>
  </si>
  <si>
    <t>TSF</t>
  </si>
  <si>
    <t>FRL</t>
  </si>
  <si>
    <t>VBS</t>
  </si>
  <si>
    <t>TRS</t>
  </si>
  <si>
    <t>RMI</t>
  </si>
  <si>
    <t>VIC</t>
  </si>
  <si>
    <t>QPA</t>
  </si>
  <si>
    <t>VRN</t>
  </si>
  <si>
    <t>VCE</t>
  </si>
  <si>
    <t>SAY</t>
  </si>
  <si>
    <t>CIA</t>
  </si>
  <si>
    <t>FCO</t>
  </si>
  <si>
    <t>EBA</t>
  </si>
  <si>
    <t>QLT</t>
  </si>
  <si>
    <t>NAP</t>
  </si>
  <si>
    <t>PSA</t>
  </si>
  <si>
    <t>FLR</t>
  </si>
  <si>
    <t>GRS</t>
  </si>
  <si>
    <t>PEG</t>
  </si>
  <si>
    <t>SVN</t>
  </si>
  <si>
    <t>LJU</t>
  </si>
  <si>
    <t>MBX</t>
  </si>
  <si>
    <t>POW</t>
  </si>
  <si>
    <t>KLV</t>
  </si>
  <si>
    <t>OSR</t>
  </si>
  <si>
    <t>PED</t>
  </si>
  <si>
    <t>PRV</t>
  </si>
  <si>
    <t>PRG</t>
  </si>
  <si>
    <t>BRQ</t>
  </si>
  <si>
    <t>TLV</t>
  </si>
  <si>
    <t>BEV</t>
  </si>
  <si>
    <t>HFA</t>
  </si>
  <si>
    <t>RPN</t>
  </si>
  <si>
    <t>VDA</t>
  </si>
  <si>
    <t>SDV</t>
  </si>
  <si>
    <t>MLA</t>
  </si>
  <si>
    <t>MLT</t>
  </si>
  <si>
    <t>GRZ</t>
  </si>
  <si>
    <t>INN</t>
  </si>
  <si>
    <t>LNZ</t>
  </si>
  <si>
    <t>SZG</t>
  </si>
  <si>
    <t>SMA</t>
  </si>
  <si>
    <t>BGC</t>
  </si>
  <si>
    <t>FLW</t>
  </si>
  <si>
    <t>FAO</t>
  </si>
  <si>
    <t>GRW</t>
  </si>
  <si>
    <t>HOR</t>
  </si>
  <si>
    <t>TER</t>
  </si>
  <si>
    <t>PDL</t>
  </si>
  <si>
    <t>PIX</t>
  </si>
  <si>
    <t>OPO</t>
  </si>
  <si>
    <t>PXO</t>
  </si>
  <si>
    <t>LIS</t>
  </si>
  <si>
    <t>SJZ</t>
  </si>
  <si>
    <t>VRL</t>
  </si>
  <si>
    <t>PDT</t>
  </si>
  <si>
    <t>OMO</t>
  </si>
  <si>
    <t>BIH</t>
  </si>
  <si>
    <t>SJJ</t>
  </si>
  <si>
    <t>ARW</t>
  </si>
  <si>
    <t>ROU</t>
  </si>
  <si>
    <t>BCM</t>
  </si>
  <si>
    <t>BAY</t>
  </si>
  <si>
    <t>BBU</t>
  </si>
  <si>
    <t>CND</t>
  </si>
  <si>
    <t>CLJ</t>
  </si>
  <si>
    <t>CSB</t>
  </si>
  <si>
    <t>CRA</t>
  </si>
  <si>
    <t>IAS</t>
  </si>
  <si>
    <t>OMR</t>
  </si>
  <si>
    <t>OTP</t>
  </si>
  <si>
    <t>SBZ</t>
  </si>
  <si>
    <t>SUJ</t>
  </si>
  <si>
    <t>SCV</t>
  </si>
  <si>
    <t>TCE</t>
  </si>
  <si>
    <t>TGM</t>
  </si>
  <si>
    <t>TSR</t>
  </si>
  <si>
    <t>GVA</t>
  </si>
  <si>
    <t>SIR</t>
  </si>
  <si>
    <t>LUG</t>
  </si>
  <si>
    <t>BRN</t>
  </si>
  <si>
    <t>ACH</t>
  </si>
  <si>
    <t>SMV</t>
  </si>
  <si>
    <t>ESB</t>
  </si>
  <si>
    <t>ANK</t>
  </si>
  <si>
    <t>ADA</t>
  </si>
  <si>
    <t>AFY</t>
  </si>
  <si>
    <t>AYT</t>
  </si>
  <si>
    <t>GZT</t>
  </si>
  <si>
    <t>KYA</t>
  </si>
  <si>
    <t>MZH</t>
  </si>
  <si>
    <t>VAS</t>
  </si>
  <si>
    <t>MLX</t>
  </si>
  <si>
    <t>ASR</t>
  </si>
  <si>
    <t>DNZ</t>
  </si>
  <si>
    <t>BZI</t>
  </si>
  <si>
    <t>BDM</t>
  </si>
  <si>
    <t>TYE</t>
  </si>
  <si>
    <t>ESK</t>
  </si>
  <si>
    <t>ADB</t>
  </si>
  <si>
    <t>IGL</t>
  </si>
  <si>
    <t>DLM</t>
  </si>
  <si>
    <t>RIW</t>
  </si>
  <si>
    <t>BXN</t>
  </si>
  <si>
    <t>EZS</t>
  </si>
  <si>
    <t>DIY</t>
  </si>
  <si>
    <t>ERC</t>
  </si>
  <si>
    <t>ERZ</t>
  </si>
  <si>
    <t>TZX</t>
  </si>
  <si>
    <t>MTJ</t>
  </si>
  <si>
    <t>VAN</t>
  </si>
  <si>
    <t>BAL</t>
  </si>
  <si>
    <t>MDA</t>
  </si>
  <si>
    <t>KIV</t>
  </si>
  <si>
    <t>OHD</t>
  </si>
  <si>
    <t>MKD</t>
  </si>
  <si>
    <t>SKP</t>
  </si>
  <si>
    <t>GIB</t>
  </si>
  <si>
    <t>BEG</t>
  </si>
  <si>
    <t>SRB</t>
  </si>
  <si>
    <t>INI</t>
  </si>
  <si>
    <t>TGD</t>
  </si>
  <si>
    <t>MNE</t>
  </si>
  <si>
    <t>PRN</t>
  </si>
  <si>
    <t>TIV</t>
  </si>
  <si>
    <t>BTS</t>
  </si>
  <si>
    <t>SVK</t>
  </si>
  <si>
    <t>KSC</t>
  </si>
  <si>
    <t>PZY</t>
  </si>
  <si>
    <t>SLD</t>
  </si>
  <si>
    <t>TAT</t>
  </si>
  <si>
    <t>1CS</t>
  </si>
  <si>
    <t>NCA</t>
  </si>
  <si>
    <t>TCA</t>
  </si>
  <si>
    <t>PLS</t>
  </si>
  <si>
    <t>XSC</t>
  </si>
  <si>
    <t>EPS</t>
  </si>
  <si>
    <t>DOM</t>
  </si>
  <si>
    <t>BRX</t>
  </si>
  <si>
    <t>LRM</t>
  </si>
  <si>
    <t>PUJ</t>
  </si>
  <si>
    <t>POP</t>
  </si>
  <si>
    <t>SDQ</t>
  </si>
  <si>
    <t>STI</t>
  </si>
  <si>
    <t>GTM</t>
  </si>
  <si>
    <t>CBV</t>
  </si>
  <si>
    <t>GUA</t>
  </si>
  <si>
    <t>LCE</t>
  </si>
  <si>
    <t>HND</t>
  </si>
  <si>
    <t>SAP</t>
  </si>
  <si>
    <t>GJA</t>
  </si>
  <si>
    <t>RTB</t>
  </si>
  <si>
    <t>TEA</t>
  </si>
  <si>
    <t>TGU</t>
  </si>
  <si>
    <t>OCJ</t>
  </si>
  <si>
    <t>POT</t>
  </si>
  <si>
    <t>KTP</t>
  </si>
  <si>
    <t>ACA</t>
  </si>
  <si>
    <t>NTR</t>
  </si>
  <si>
    <t>AGU</t>
  </si>
  <si>
    <t>HUX</t>
  </si>
  <si>
    <t>CVJ</t>
  </si>
  <si>
    <t>CME</t>
  </si>
  <si>
    <t>CUL</t>
  </si>
  <si>
    <t>CTM</t>
  </si>
  <si>
    <t>CEN</t>
  </si>
  <si>
    <t>CPE</t>
  </si>
  <si>
    <t>CJS</t>
  </si>
  <si>
    <t>CUU</t>
  </si>
  <si>
    <t>CVM</t>
  </si>
  <si>
    <t>ENW</t>
  </si>
  <si>
    <t>CZM</t>
  </si>
  <si>
    <t>DGO</t>
  </si>
  <si>
    <t>TPQ</t>
  </si>
  <si>
    <t>ESE</t>
  </si>
  <si>
    <t>GDL</t>
  </si>
  <si>
    <t>GYM</t>
  </si>
  <si>
    <t>TCN</t>
  </si>
  <si>
    <t>HMO</t>
  </si>
  <si>
    <t>CLQ</t>
  </si>
  <si>
    <t>ISJ</t>
  </si>
  <si>
    <t>SLW</t>
  </si>
  <si>
    <t>LZC</t>
  </si>
  <si>
    <t>LMM</t>
  </si>
  <si>
    <t>BJX</t>
  </si>
  <si>
    <t>LAP</t>
  </si>
  <si>
    <t>LTO</t>
  </si>
  <si>
    <t>MAM</t>
  </si>
  <si>
    <t>MID</t>
  </si>
  <si>
    <t>MXL</t>
  </si>
  <si>
    <t>MLM</t>
  </si>
  <si>
    <t>MTT</t>
  </si>
  <si>
    <t>LOV</t>
  </si>
  <si>
    <t>MTY</t>
  </si>
  <si>
    <t>MZT</t>
  </si>
  <si>
    <t>NOG</t>
  </si>
  <si>
    <t>OAX</t>
  </si>
  <si>
    <t>PAZ</t>
  </si>
  <si>
    <t>PBC</t>
  </si>
  <si>
    <t>PCA</t>
  </si>
  <si>
    <t>PPE</t>
  </si>
  <si>
    <t>PDS</t>
  </si>
  <si>
    <t>UPN</t>
  </si>
  <si>
    <t>PVR</t>
  </si>
  <si>
    <t>PXM</t>
  </si>
  <si>
    <t>QRO</t>
  </si>
  <si>
    <t>REX</t>
  </si>
  <si>
    <t>SJD</t>
  </si>
  <si>
    <t>SLP</t>
  </si>
  <si>
    <t>TXA</t>
  </si>
  <si>
    <t>TRC</t>
  </si>
  <si>
    <t>TGZ</t>
  </si>
  <si>
    <t>TIJ</t>
  </si>
  <si>
    <t>TAM</t>
  </si>
  <si>
    <t>TSL</t>
  </si>
  <si>
    <t>TLC</t>
  </si>
  <si>
    <t>TAP</t>
  </si>
  <si>
    <t>VSA</t>
  </si>
  <si>
    <t>VER</t>
  </si>
  <si>
    <t>ZCL</t>
  </si>
  <si>
    <t>ZIH</t>
  </si>
  <si>
    <t>ZMM</t>
  </si>
  <si>
    <t>ZLO</t>
  </si>
  <si>
    <t>BEF</t>
  </si>
  <si>
    <t>NIC</t>
  </si>
  <si>
    <t>MGA</t>
  </si>
  <si>
    <t>PUZ</t>
  </si>
  <si>
    <t>BOC</t>
  </si>
  <si>
    <t>CHX</t>
  </si>
  <si>
    <t>DAV</t>
  </si>
  <si>
    <t>HOW</t>
  </si>
  <si>
    <t>PAC</t>
  </si>
  <si>
    <t>CRI</t>
  </si>
  <si>
    <t>VGT</t>
  </si>
  <si>
    <t>OTR</t>
  </si>
  <si>
    <t>GLF</t>
  </si>
  <si>
    <t>LIR</t>
  </si>
  <si>
    <t>LIO</t>
  </si>
  <si>
    <t>NOB</t>
  </si>
  <si>
    <t>SJO</t>
  </si>
  <si>
    <t>PMZ</t>
  </si>
  <si>
    <t>XQP</t>
  </si>
  <si>
    <t>HTI</t>
  </si>
  <si>
    <t>CAP</t>
  </si>
  <si>
    <t>PAP</t>
  </si>
  <si>
    <t>BCA</t>
  </si>
  <si>
    <t>CUB</t>
  </si>
  <si>
    <t>BYM</t>
  </si>
  <si>
    <t>AVI</t>
  </si>
  <si>
    <t>CFG</t>
  </si>
  <si>
    <t>CYO</t>
  </si>
  <si>
    <t>CMW</t>
  </si>
  <si>
    <t>SCU</t>
  </si>
  <si>
    <t>GAO</t>
  </si>
  <si>
    <t>HAV</t>
  </si>
  <si>
    <t>HOG</t>
  </si>
  <si>
    <t>LCL</t>
  </si>
  <si>
    <t>MOA</t>
  </si>
  <si>
    <t>MZO</t>
  </si>
  <si>
    <t>GER</t>
  </si>
  <si>
    <t>SNU</t>
  </si>
  <si>
    <t>C02</t>
  </si>
  <si>
    <t>VRA</t>
  </si>
  <si>
    <t>VTU</t>
  </si>
  <si>
    <t>CYB</t>
  </si>
  <si>
    <t>CYM</t>
  </si>
  <si>
    <t>GCM</t>
  </si>
  <si>
    <t>ASD</t>
  </si>
  <si>
    <t>MHH</t>
  </si>
  <si>
    <t>SAQ</t>
  </si>
  <si>
    <t>AXP</t>
  </si>
  <si>
    <t>TCB</t>
  </si>
  <si>
    <t>CCZ</t>
  </si>
  <si>
    <t>BIM</t>
  </si>
  <si>
    <t>DKB</t>
  </si>
  <si>
    <t>GGT</t>
  </si>
  <si>
    <t>ELH</t>
  </si>
  <si>
    <t>GHB</t>
  </si>
  <si>
    <t>RSD</t>
  </si>
  <si>
    <t>FPO</t>
  </si>
  <si>
    <t>IGA</t>
  </si>
  <si>
    <t>LGI</t>
  </si>
  <si>
    <t>SML</t>
  </si>
  <si>
    <t>MYG</t>
  </si>
  <si>
    <t>ZSA</t>
  </si>
  <si>
    <t>BZE</t>
  </si>
  <si>
    <t>AIT</t>
  </si>
  <si>
    <t>COK</t>
  </si>
  <si>
    <t>RAR</t>
  </si>
  <si>
    <t>NAN</t>
  </si>
  <si>
    <t>FJI</t>
  </si>
  <si>
    <t>SUV</t>
  </si>
  <si>
    <t>TBU</t>
  </si>
  <si>
    <t>TON</t>
  </si>
  <si>
    <t>VAV</t>
  </si>
  <si>
    <t>TRW</t>
  </si>
  <si>
    <t>TBF</t>
  </si>
  <si>
    <t>MTL</t>
  </si>
  <si>
    <t>WLS</t>
  </si>
  <si>
    <t>WLF</t>
  </si>
  <si>
    <t>APW</t>
  </si>
  <si>
    <t>ASM</t>
  </si>
  <si>
    <t>PPG</t>
  </si>
  <si>
    <t>RUR</t>
  </si>
  <si>
    <t>PYF</t>
  </si>
  <si>
    <t>TUB</t>
  </si>
  <si>
    <t>AAA</t>
  </si>
  <si>
    <t>TIH</t>
  </si>
  <si>
    <t>REA</t>
  </si>
  <si>
    <t>FAV</t>
  </si>
  <si>
    <t>XMH</t>
  </si>
  <si>
    <t>GMR</t>
  </si>
  <si>
    <t>KKR</t>
  </si>
  <si>
    <t>MKP</t>
  </si>
  <si>
    <t>PKP</t>
  </si>
  <si>
    <t>TKP</t>
  </si>
  <si>
    <t>AXR</t>
  </si>
  <si>
    <t>MVT</t>
  </si>
  <si>
    <t>TKX</t>
  </si>
  <si>
    <t>NHV</t>
  </si>
  <si>
    <t>LAF</t>
  </si>
  <si>
    <t>BOB</t>
  </si>
  <si>
    <t>RGI</t>
  </si>
  <si>
    <t>HUH</t>
  </si>
  <si>
    <t>HOI</t>
  </si>
  <si>
    <t>MAU</t>
  </si>
  <si>
    <t>RFP</t>
  </si>
  <si>
    <t>VLI</t>
  </si>
  <si>
    <t>VUT</t>
  </si>
  <si>
    <t>KNQ</t>
  </si>
  <si>
    <t>KOC</t>
  </si>
  <si>
    <t>LIF</t>
  </si>
  <si>
    <t>GEA</t>
  </si>
  <si>
    <t>MEE</t>
  </si>
  <si>
    <t>TOU</t>
  </si>
  <si>
    <t>UVE</t>
  </si>
  <si>
    <t>NOU</t>
  </si>
  <si>
    <t>AKL</t>
  </si>
  <si>
    <t>NZL</t>
  </si>
  <si>
    <t>TUO</t>
  </si>
  <si>
    <t>AMZ</t>
  </si>
  <si>
    <t>CHC</t>
  </si>
  <si>
    <t>CHT</t>
  </si>
  <si>
    <t>DUD</t>
  </si>
  <si>
    <t>GIS</t>
  </si>
  <si>
    <t>HKK</t>
  </si>
  <si>
    <t>HLZ</t>
  </si>
  <si>
    <t>KKE</t>
  </si>
  <si>
    <t>KAT</t>
  </si>
  <si>
    <t>ALR</t>
  </si>
  <si>
    <t>GTN</t>
  </si>
  <si>
    <t>TEU</t>
  </si>
  <si>
    <t>MRO</t>
  </si>
  <si>
    <t>NPL</t>
  </si>
  <si>
    <t>NSN</t>
  </si>
  <si>
    <t>IVC</t>
  </si>
  <si>
    <t>OAM</t>
  </si>
  <si>
    <t>PMR</t>
  </si>
  <si>
    <t>PPQ</t>
  </si>
  <si>
    <t>ZQN</t>
  </si>
  <si>
    <t>ROT</t>
  </si>
  <si>
    <t>ATA</t>
  </si>
  <si>
    <t>TRG</t>
  </si>
  <si>
    <t>TIU</t>
  </si>
  <si>
    <t>BHE</t>
  </si>
  <si>
    <t>WKA</t>
  </si>
  <si>
    <t>WHK</t>
  </si>
  <si>
    <t>WLG</t>
  </si>
  <si>
    <t>WRE</t>
  </si>
  <si>
    <t>WSZ</t>
  </si>
  <si>
    <t>WAG</t>
  </si>
  <si>
    <t>HEA</t>
  </si>
  <si>
    <t>AFG</t>
  </si>
  <si>
    <t>JAA</t>
  </si>
  <si>
    <t>KBL</t>
  </si>
  <si>
    <t>KDH</t>
  </si>
  <si>
    <t>MMZ</t>
  </si>
  <si>
    <t>MZR</t>
  </si>
  <si>
    <t>UND</t>
  </si>
  <si>
    <t>BAH</t>
  </si>
  <si>
    <t>BHR</t>
  </si>
  <si>
    <t>AHB</t>
  </si>
  <si>
    <t>HOF</t>
  </si>
  <si>
    <t>ABT</t>
  </si>
  <si>
    <t>BHH</t>
  </si>
  <si>
    <t>DMM</t>
  </si>
  <si>
    <t>DHA</t>
  </si>
  <si>
    <t>GIZ</t>
  </si>
  <si>
    <t>ELQ</t>
  </si>
  <si>
    <t>URY</t>
  </si>
  <si>
    <t>HAS</t>
  </si>
  <si>
    <t>HBT</t>
  </si>
  <si>
    <t>MED</t>
  </si>
  <si>
    <t>EAM</t>
  </si>
  <si>
    <t>AQI</t>
  </si>
  <si>
    <t>RAH</t>
  </si>
  <si>
    <t>RAE</t>
  </si>
  <si>
    <t>SHW</t>
  </si>
  <si>
    <t>DGE</t>
  </si>
  <si>
    <t>SLF</t>
  </si>
  <si>
    <t>TUU</t>
  </si>
  <si>
    <t>TIF</t>
  </si>
  <si>
    <t>TUI</t>
  </si>
  <si>
    <t>OXD</t>
  </si>
  <si>
    <t>EJH</t>
  </si>
  <si>
    <t>YNB</t>
  </si>
  <si>
    <t>ABD</t>
  </si>
  <si>
    <t>QMJ</t>
  </si>
  <si>
    <t>MRX</t>
  </si>
  <si>
    <t>AWZ</t>
  </si>
  <si>
    <t>BUZ</t>
  </si>
  <si>
    <t>KIH</t>
  </si>
  <si>
    <t>BDH</t>
  </si>
  <si>
    <t>KSH</t>
  </si>
  <si>
    <t>SDG</t>
  </si>
  <si>
    <t>RAS</t>
  </si>
  <si>
    <t>MIE</t>
  </si>
  <si>
    <t>THR</t>
  </si>
  <si>
    <t>BND</t>
  </si>
  <si>
    <t>KER</t>
  </si>
  <si>
    <t>XBJ</t>
  </si>
  <si>
    <t>WSY</t>
  </si>
  <si>
    <t>RZR</t>
  </si>
  <si>
    <t>RAF</t>
  </si>
  <si>
    <t>SYZ</t>
  </si>
  <si>
    <t>QSA</t>
  </si>
  <si>
    <t>TBZ</t>
  </si>
  <si>
    <t>AZD</t>
  </si>
  <si>
    <t>ZBR</t>
  </si>
  <si>
    <t>ZAH</t>
  </si>
  <si>
    <t>AMM</t>
  </si>
  <si>
    <t>JOR</t>
  </si>
  <si>
    <t>ADJ</t>
  </si>
  <si>
    <t>AQJ</t>
  </si>
  <si>
    <t>OMF</t>
  </si>
  <si>
    <t>AZI</t>
  </si>
  <si>
    <t>MVA</t>
  </si>
  <si>
    <t>FJR</t>
  </si>
  <si>
    <t>RKT</t>
  </si>
  <si>
    <t>SHJ</t>
  </si>
  <si>
    <t>KHS</t>
  </si>
  <si>
    <t>OMN</t>
  </si>
  <si>
    <t>MSH</t>
  </si>
  <si>
    <t>MCT</t>
  </si>
  <si>
    <t>SLL</t>
  </si>
  <si>
    <t>TTH</t>
  </si>
  <si>
    <t>XYD</t>
  </si>
  <si>
    <t>LYP</t>
  </si>
  <si>
    <t>GWD</t>
  </si>
  <si>
    <t>GIL</t>
  </si>
  <si>
    <t>LHE</t>
  </si>
  <si>
    <t>MFG</t>
  </si>
  <si>
    <t>MJD</t>
  </si>
  <si>
    <t>MUX</t>
  </si>
  <si>
    <t>WNS</t>
  </si>
  <si>
    <t>PJG</t>
  </si>
  <si>
    <t>PSI</t>
  </si>
  <si>
    <t>PEW</t>
  </si>
  <si>
    <t>UET</t>
  </si>
  <si>
    <t>RYK</t>
  </si>
  <si>
    <t>ISB</t>
  </si>
  <si>
    <t>RAZ</t>
  </si>
  <si>
    <t>1RL</t>
  </si>
  <si>
    <t>SKZ</t>
  </si>
  <si>
    <t>SDT</t>
  </si>
  <si>
    <t>SUL</t>
  </si>
  <si>
    <t>BDN</t>
  </si>
  <si>
    <t>PZH</t>
  </si>
  <si>
    <t>BSR</t>
  </si>
  <si>
    <t>ALP</t>
  </si>
  <si>
    <t>SYR</t>
  </si>
  <si>
    <t>DAM</t>
  </si>
  <si>
    <t>DEZ</t>
  </si>
  <si>
    <t>LTK</t>
  </si>
  <si>
    <t>PMS</t>
  </si>
  <si>
    <t>CIS</t>
  </si>
  <si>
    <t>ROP</t>
  </si>
  <si>
    <t>MNP</t>
  </si>
  <si>
    <t>SPN</t>
  </si>
  <si>
    <t>UAM</t>
  </si>
  <si>
    <t>GUM</t>
  </si>
  <si>
    <t>TIQ</t>
  </si>
  <si>
    <t>NSO</t>
  </si>
  <si>
    <t>MAJ</t>
  </si>
  <si>
    <t>MHL</t>
  </si>
  <si>
    <t>KWA</t>
  </si>
  <si>
    <t>CXI</t>
  </si>
  <si>
    <t>MDY</t>
  </si>
  <si>
    <t>TKK</t>
  </si>
  <si>
    <t>FSM</t>
  </si>
  <si>
    <t>PNI</t>
  </si>
  <si>
    <t>ROR</t>
  </si>
  <si>
    <t>PLW</t>
  </si>
  <si>
    <t>KSA</t>
  </si>
  <si>
    <t>YAP</t>
  </si>
  <si>
    <t>KNH</t>
  </si>
  <si>
    <t>PIF</t>
  </si>
  <si>
    <t>TTT</t>
  </si>
  <si>
    <t>GNI</t>
  </si>
  <si>
    <t>KHH</t>
  </si>
  <si>
    <t>CYI</t>
  </si>
  <si>
    <t>KYD</t>
  </si>
  <si>
    <t>RMQ</t>
  </si>
  <si>
    <t>CES</t>
  </si>
  <si>
    <t>TNN</t>
  </si>
  <si>
    <t>MZG</t>
  </si>
  <si>
    <t>TSA</t>
  </si>
  <si>
    <t>TPE</t>
  </si>
  <si>
    <t>WOT</t>
  </si>
  <si>
    <t>MMJ</t>
  </si>
  <si>
    <t>IBR</t>
  </si>
  <si>
    <t>IWO</t>
  </si>
  <si>
    <t>SHM</t>
  </si>
  <si>
    <t>OBO</t>
  </si>
  <si>
    <t>CTS</t>
  </si>
  <si>
    <t>HKD</t>
  </si>
  <si>
    <t>SPK</t>
  </si>
  <si>
    <t>MMB</t>
  </si>
  <si>
    <t>SHB</t>
  </si>
  <si>
    <t>WKJ</t>
  </si>
  <si>
    <t>IKI</t>
  </si>
  <si>
    <t>UBJ</t>
  </si>
  <si>
    <t>TSJ</t>
  </si>
  <si>
    <t>MBE</t>
  </si>
  <si>
    <t>AKJ</t>
  </si>
  <si>
    <t>OIR</t>
  </si>
  <si>
    <t>RIS</t>
  </si>
  <si>
    <t>KUM</t>
  </si>
  <si>
    <t>FUJ</t>
  </si>
  <si>
    <t>FUK</t>
  </si>
  <si>
    <t>TNE</t>
  </si>
  <si>
    <t>KOJ</t>
  </si>
  <si>
    <t>KMI</t>
  </si>
  <si>
    <t>OIT</t>
  </si>
  <si>
    <t>KKJ</t>
  </si>
  <si>
    <t>KMJ</t>
  </si>
  <si>
    <t>NGS</t>
  </si>
  <si>
    <t>ASJ</t>
  </si>
  <si>
    <t>TKN</t>
  </si>
  <si>
    <t>KMQ</t>
  </si>
  <si>
    <t>OKI</t>
  </si>
  <si>
    <t>TOY</t>
  </si>
  <si>
    <t>HIJ</t>
  </si>
  <si>
    <t>OKJ</t>
  </si>
  <si>
    <t>IZO</t>
  </si>
  <si>
    <t>YGJ</t>
  </si>
  <si>
    <t>KCZ</t>
  </si>
  <si>
    <t>MYJ</t>
  </si>
  <si>
    <t>ITM</t>
  </si>
  <si>
    <t>TTJ</t>
  </si>
  <si>
    <t>TKS</t>
  </si>
  <si>
    <t>TAK</t>
  </si>
  <si>
    <t>AOJ</t>
  </si>
  <si>
    <t>GAJ</t>
  </si>
  <si>
    <t>HNA</t>
  </si>
  <si>
    <t>AXT</t>
  </si>
  <si>
    <t>MSJ</t>
  </si>
  <si>
    <t>SDJ</t>
  </si>
  <si>
    <t>LKS</t>
  </si>
  <si>
    <t>HAC</t>
  </si>
  <si>
    <t>OIM</t>
  </si>
  <si>
    <t>OKO</t>
  </si>
  <si>
    <t>KWJ</t>
  </si>
  <si>
    <t>RSU</t>
  </si>
  <si>
    <t>SHO</t>
  </si>
  <si>
    <t>KAG</t>
  </si>
  <si>
    <t>MQB</t>
  </si>
  <si>
    <t>CJU</t>
  </si>
  <si>
    <t>PUS</t>
  </si>
  <si>
    <t>USN</t>
  </si>
  <si>
    <t>SSN</t>
  </si>
  <si>
    <t>OSN</t>
  </si>
  <si>
    <t>GMP</t>
  </si>
  <si>
    <t>KPO</t>
  </si>
  <si>
    <t>TAE</t>
  </si>
  <si>
    <t>YEC</t>
  </si>
  <si>
    <t>OKA</t>
  </si>
  <si>
    <t>DNA</t>
  </si>
  <si>
    <t>ISG</t>
  </si>
  <si>
    <t>UEO</t>
  </si>
  <si>
    <t>MMD</t>
  </si>
  <si>
    <t>MMY</t>
  </si>
  <si>
    <t>KTD</t>
  </si>
  <si>
    <t>SHI</t>
  </si>
  <si>
    <t>RNJ</t>
  </si>
  <si>
    <t>OGN</t>
  </si>
  <si>
    <t>MNL</t>
  </si>
  <si>
    <t>MYP</t>
  </si>
  <si>
    <t>TKM</t>
  </si>
  <si>
    <t>CBO</t>
  </si>
  <si>
    <t>CGY</t>
  </si>
  <si>
    <t>PAG</t>
  </si>
  <si>
    <t>ZAM</t>
  </si>
  <si>
    <t>TAC</t>
  </si>
  <si>
    <t>BCD</t>
  </si>
  <si>
    <t>GEN</t>
  </si>
  <si>
    <t>DGT</t>
  </si>
  <si>
    <t>ILO</t>
  </si>
  <si>
    <t>KLO</t>
  </si>
  <si>
    <t>AUW</t>
  </si>
  <si>
    <t>PPS</t>
  </si>
  <si>
    <t>SJI</t>
  </si>
  <si>
    <t>COC</t>
  </si>
  <si>
    <t>GHU</t>
  </si>
  <si>
    <t>PRA</t>
  </si>
  <si>
    <t>ROS</t>
  </si>
  <si>
    <t>SFN</t>
  </si>
  <si>
    <t>AEP</t>
  </si>
  <si>
    <t>COR</t>
  </si>
  <si>
    <t>LPG</t>
  </si>
  <si>
    <t>MDZ</t>
  </si>
  <si>
    <t>LGS</t>
  </si>
  <si>
    <t>AFA</t>
  </si>
  <si>
    <t>CTC</t>
  </si>
  <si>
    <t>SDE</t>
  </si>
  <si>
    <t>IRJ</t>
  </si>
  <si>
    <t>TUC</t>
  </si>
  <si>
    <t>UAQ</t>
  </si>
  <si>
    <t>RCU</t>
  </si>
  <si>
    <t>VDR</t>
  </si>
  <si>
    <t>LUQ</t>
  </si>
  <si>
    <t>CNQ</t>
  </si>
  <si>
    <t>RES</t>
  </si>
  <si>
    <t>FMA</t>
  </si>
  <si>
    <t>IGR</t>
  </si>
  <si>
    <t>AOL</t>
  </si>
  <si>
    <t>PSS</t>
  </si>
  <si>
    <t>SLA</t>
  </si>
  <si>
    <t>JUJ</t>
  </si>
  <si>
    <t>ORA</t>
  </si>
  <si>
    <t>C47</t>
  </si>
  <si>
    <t>EHL</t>
  </si>
  <si>
    <t>CRD</t>
  </si>
  <si>
    <t>EQS</t>
  </si>
  <si>
    <t>REL</t>
  </si>
  <si>
    <t>VDM</t>
  </si>
  <si>
    <t>PMY</t>
  </si>
  <si>
    <t>PUD</t>
  </si>
  <si>
    <t>RGA</t>
  </si>
  <si>
    <t>RGL</t>
  </si>
  <si>
    <t>USH</t>
  </si>
  <si>
    <t>ULA</t>
  </si>
  <si>
    <t>PMQ</t>
  </si>
  <si>
    <t>RZA</t>
  </si>
  <si>
    <t>BHI</t>
  </si>
  <si>
    <t>IWD</t>
  </si>
  <si>
    <t>MDQ</t>
  </si>
  <si>
    <t>NQN</t>
  </si>
  <si>
    <t>MCD</t>
  </si>
  <si>
    <t>RSA</t>
  </si>
  <si>
    <t>BRC</t>
  </si>
  <si>
    <t>TDL</t>
  </si>
  <si>
    <t>VLG</t>
  </si>
  <si>
    <t>CPC</t>
  </si>
  <si>
    <t>CDJ</t>
  </si>
  <si>
    <t>AQA</t>
  </si>
  <si>
    <t>AJU</t>
  </si>
  <si>
    <t>AFL</t>
  </si>
  <si>
    <t>ARU</t>
  </si>
  <si>
    <t>BGX</t>
  </si>
  <si>
    <t>PLU</t>
  </si>
  <si>
    <t>BFH</t>
  </si>
  <si>
    <t>BSB</t>
  </si>
  <si>
    <t>BAU</t>
  </si>
  <si>
    <t>BVB</t>
  </si>
  <si>
    <t>CAC</t>
  </si>
  <si>
    <t>CNF</t>
  </si>
  <si>
    <t>CGR</t>
  </si>
  <si>
    <t>XAP</t>
  </si>
  <si>
    <t>CLN</t>
  </si>
  <si>
    <t>CCM</t>
  </si>
  <si>
    <t>CAW</t>
  </si>
  <si>
    <t>CMG</t>
  </si>
  <si>
    <t>CWB</t>
  </si>
  <si>
    <t>CRQ</t>
  </si>
  <si>
    <t>CXJ</t>
  </si>
  <si>
    <t>CGB</t>
  </si>
  <si>
    <t>CZS</t>
  </si>
  <si>
    <t>PPB</t>
  </si>
  <si>
    <t>MAO</t>
  </si>
  <si>
    <t>IGU</t>
  </si>
  <si>
    <t>FLN</t>
  </si>
  <si>
    <t>FEN</t>
  </si>
  <si>
    <t>FOR</t>
  </si>
  <si>
    <t>GIG</t>
  </si>
  <si>
    <t>GYN</t>
  </si>
  <si>
    <t>ATM</t>
  </si>
  <si>
    <t>IOS</t>
  </si>
  <si>
    <t>IPN</t>
  </si>
  <si>
    <t>IMP</t>
  </si>
  <si>
    <t>JDF</t>
  </si>
  <si>
    <t>JPA</t>
  </si>
  <si>
    <t>JOI</t>
  </si>
  <si>
    <t>VCP</t>
  </si>
  <si>
    <t>LIP</t>
  </si>
  <si>
    <t>LDB</t>
  </si>
  <si>
    <t>LAZ</t>
  </si>
  <si>
    <t>MAB</t>
  </si>
  <si>
    <t>MGF</t>
  </si>
  <si>
    <t>MOC</t>
  </si>
  <si>
    <t>GRM</t>
  </si>
  <si>
    <t>MCZ</t>
  </si>
  <si>
    <t>MCP</t>
  </si>
  <si>
    <t>MNX</t>
  </si>
  <si>
    <t>NVT</t>
  </si>
  <si>
    <t>GEL</t>
  </si>
  <si>
    <t>NAT</t>
  </si>
  <si>
    <t>POA</t>
  </si>
  <si>
    <t>POO</t>
  </si>
  <si>
    <t>PFB</t>
  </si>
  <si>
    <t>PET</t>
  </si>
  <si>
    <t>PNZ</t>
  </si>
  <si>
    <t>PNB</t>
  </si>
  <si>
    <t>PMG</t>
  </si>
  <si>
    <t>PVH</t>
  </si>
  <si>
    <t>NPZ</t>
  </si>
  <si>
    <t>RBR</t>
  </si>
  <si>
    <t>REC</t>
  </si>
  <si>
    <t>RIG</t>
  </si>
  <si>
    <t>SDU</t>
  </si>
  <si>
    <t>RAO</t>
  </si>
  <si>
    <t>STU</t>
  </si>
  <si>
    <t>SJK</t>
  </si>
  <si>
    <t>SLZ</t>
  </si>
  <si>
    <t>CGH</t>
  </si>
  <si>
    <t>SJP</t>
  </si>
  <si>
    <t>SSZ</t>
  </si>
  <si>
    <t>SSA</t>
  </si>
  <si>
    <t>TMT</t>
  </si>
  <si>
    <t>THE</t>
  </si>
  <si>
    <t>TFF</t>
  </si>
  <si>
    <t>TBT</t>
  </si>
  <si>
    <t>PAV</t>
  </si>
  <si>
    <t>URG</t>
  </si>
  <si>
    <t>UDI</t>
  </si>
  <si>
    <t>UBA</t>
  </si>
  <si>
    <t>VAG</t>
  </si>
  <si>
    <t>BVH</t>
  </si>
  <si>
    <t>VIX</t>
  </si>
  <si>
    <t>QPS</t>
  </si>
  <si>
    <t>ARI</t>
  </si>
  <si>
    <t>BBA</t>
  </si>
  <si>
    <t>CCH</t>
  </si>
  <si>
    <t>CJC</t>
  </si>
  <si>
    <t>PUQ</t>
  </si>
  <si>
    <t>GXQ</t>
  </si>
  <si>
    <t>IQQ</t>
  </si>
  <si>
    <t>SCL</t>
  </si>
  <si>
    <t>ANF</t>
  </si>
  <si>
    <t>LSQ</t>
  </si>
  <si>
    <t>CCP</t>
  </si>
  <si>
    <t>IPC</t>
  </si>
  <si>
    <t>ZOS</t>
  </si>
  <si>
    <t>LSC</t>
  </si>
  <si>
    <t>ZCO</t>
  </si>
  <si>
    <t>PMC</t>
  </si>
  <si>
    <t>WCH</t>
  </si>
  <si>
    <t>ZAL</t>
  </si>
  <si>
    <t>ATF</t>
  </si>
  <si>
    <t>ECU</t>
  </si>
  <si>
    <t>OCC</t>
  </si>
  <si>
    <t>CUE</t>
  </si>
  <si>
    <t>GPS</t>
  </si>
  <si>
    <t>GYE</t>
  </si>
  <si>
    <t>XMS</t>
  </si>
  <si>
    <t>MCH</t>
  </si>
  <si>
    <t>MEC</t>
  </si>
  <si>
    <t>PVO</t>
  </si>
  <si>
    <t>UIO</t>
  </si>
  <si>
    <t>SNC</t>
  </si>
  <si>
    <t>TPC</t>
  </si>
  <si>
    <t>TUA</t>
  </si>
  <si>
    <t>ASU</t>
  </si>
  <si>
    <t>AXM</t>
  </si>
  <si>
    <t>PUU</t>
  </si>
  <si>
    <t>BGA</t>
  </si>
  <si>
    <t>BOG</t>
  </si>
  <si>
    <t>BAQ</t>
  </si>
  <si>
    <t>BSC</t>
  </si>
  <si>
    <t>BUN</t>
  </si>
  <si>
    <t>CUC</t>
  </si>
  <si>
    <t>CTG</t>
  </si>
  <si>
    <t>CLO</t>
  </si>
  <si>
    <t>TCO</t>
  </si>
  <si>
    <t>CZU</t>
  </si>
  <si>
    <t>EJA</t>
  </si>
  <si>
    <t>FLA</t>
  </si>
  <si>
    <t>MXY</t>
  </si>
  <si>
    <t>GPI</t>
  </si>
  <si>
    <t>IBE</t>
  </si>
  <si>
    <t>IPI</t>
  </si>
  <si>
    <t>LET</t>
  </si>
  <si>
    <t>EOH</t>
  </si>
  <si>
    <t>MGN</t>
  </si>
  <si>
    <t>MTR</t>
  </si>
  <si>
    <t>MVP</t>
  </si>
  <si>
    <t>MZL</t>
  </si>
  <si>
    <t>NVA</t>
  </si>
  <si>
    <t>OCV</t>
  </si>
  <si>
    <t>OTU</t>
  </si>
  <si>
    <t>PCR</t>
  </si>
  <si>
    <t>PEI</t>
  </si>
  <si>
    <t>PPN</t>
  </si>
  <si>
    <t>PSO</t>
  </si>
  <si>
    <t>PVA</t>
  </si>
  <si>
    <t>MDE</t>
  </si>
  <si>
    <t>RCH</t>
  </si>
  <si>
    <t>SJE</t>
  </si>
  <si>
    <t>SMR</t>
  </si>
  <si>
    <t>ADZ</t>
  </si>
  <si>
    <t>SVI</t>
  </si>
  <si>
    <t>TME</t>
  </si>
  <si>
    <t>AUC</t>
  </si>
  <si>
    <t>UIB</t>
  </si>
  <si>
    <t>ULQ</t>
  </si>
  <si>
    <t>VUP</t>
  </si>
  <si>
    <t>VVC</t>
  </si>
  <si>
    <t>BJO</t>
  </si>
  <si>
    <t>BOL</t>
  </si>
  <si>
    <t>CBB</t>
  </si>
  <si>
    <t>CIJ</t>
  </si>
  <si>
    <t>LPB</t>
  </si>
  <si>
    <t>POI</t>
  </si>
  <si>
    <t>PSZ</t>
  </si>
  <si>
    <t>SRE</t>
  </si>
  <si>
    <t>TJA</t>
  </si>
  <si>
    <t>TDD</t>
  </si>
  <si>
    <t>VVI</t>
  </si>
  <si>
    <t>BYC</t>
  </si>
  <si>
    <t>PBM</t>
  </si>
  <si>
    <t>SUR</t>
  </si>
  <si>
    <t>CAY</t>
  </si>
  <si>
    <t>GUF</t>
  </si>
  <si>
    <t>SWD</t>
  </si>
  <si>
    <t>PCL</t>
  </si>
  <si>
    <t>CHM</t>
  </si>
  <si>
    <t>CIX</t>
  </si>
  <si>
    <t>AYP</t>
  </si>
  <si>
    <t>ANS</t>
  </si>
  <si>
    <t>LIM</t>
  </si>
  <si>
    <t>JJI</t>
  </si>
  <si>
    <t>JUL</t>
  </si>
  <si>
    <t>MGC</t>
  </si>
  <si>
    <t>TBP</t>
  </si>
  <si>
    <t>YMS</t>
  </si>
  <si>
    <t>CHH</t>
  </si>
  <si>
    <t>IQT</t>
  </si>
  <si>
    <t>AQP</t>
  </si>
  <si>
    <t>TRU</t>
  </si>
  <si>
    <t>PIO</t>
  </si>
  <si>
    <t>TPP</t>
  </si>
  <si>
    <t>TCQ</t>
  </si>
  <si>
    <t>PEM</t>
  </si>
  <si>
    <t>PIU</t>
  </si>
  <si>
    <t>TYL</t>
  </si>
  <si>
    <t>CUZ</t>
  </si>
  <si>
    <t>MVD</t>
  </si>
  <si>
    <t>STY</t>
  </si>
  <si>
    <t>AGV</t>
  </si>
  <si>
    <t>VEN</t>
  </si>
  <si>
    <t>AAO</t>
  </si>
  <si>
    <t>BLA</t>
  </si>
  <si>
    <t>BNS</t>
  </si>
  <si>
    <t>BRM</t>
  </si>
  <si>
    <t>CBL</t>
  </si>
  <si>
    <t>CAJ</t>
  </si>
  <si>
    <t>CUP</t>
  </si>
  <si>
    <t>CUM</t>
  </si>
  <si>
    <t>GUI</t>
  </si>
  <si>
    <t>GUQ</t>
  </si>
  <si>
    <t>LSP</t>
  </si>
  <si>
    <t>LFR</t>
  </si>
  <si>
    <t>MRD</t>
  </si>
  <si>
    <t>PMV</t>
  </si>
  <si>
    <t>CCS</t>
  </si>
  <si>
    <t>MUN</t>
  </si>
  <si>
    <t>PYH</t>
  </si>
  <si>
    <t>PBL</t>
  </si>
  <si>
    <t>PZO</t>
  </si>
  <si>
    <t>SVZ</t>
  </si>
  <si>
    <t>STD</t>
  </si>
  <si>
    <t>SFH</t>
  </si>
  <si>
    <t>SFD</t>
  </si>
  <si>
    <t>STB</t>
  </si>
  <si>
    <t>TUV</t>
  </si>
  <si>
    <t>VLN</t>
  </si>
  <si>
    <t>VLV</t>
  </si>
  <si>
    <t>VDP</t>
  </si>
  <si>
    <t>GUY</t>
  </si>
  <si>
    <t>LTM</t>
  </si>
  <si>
    <t>ANU</t>
  </si>
  <si>
    <t>ATG</t>
  </si>
  <si>
    <t>BGI</t>
  </si>
  <si>
    <t>BRB</t>
  </si>
  <si>
    <t>DCF</t>
  </si>
  <si>
    <t>DMA</t>
  </si>
  <si>
    <t>FDF</t>
  </si>
  <si>
    <t>MTQ</t>
  </si>
  <si>
    <t>SFG</t>
  </si>
  <si>
    <t>GLP</t>
  </si>
  <si>
    <t>PTP</t>
  </si>
  <si>
    <t>GND</t>
  </si>
  <si>
    <t>GRD</t>
  </si>
  <si>
    <t>STT</t>
  </si>
  <si>
    <t>VGB</t>
  </si>
  <si>
    <t>STX</t>
  </si>
  <si>
    <t>BQN</t>
  </si>
  <si>
    <t>FAJ</t>
  </si>
  <si>
    <t>SIG</t>
  </si>
  <si>
    <t>MAZ</t>
  </si>
  <si>
    <t>PSE</t>
  </si>
  <si>
    <t>SJU</t>
  </si>
  <si>
    <t>SKB</t>
  </si>
  <si>
    <t>KNA</t>
  </si>
  <si>
    <t>SLU</t>
  </si>
  <si>
    <t>UVF</t>
  </si>
  <si>
    <t>AUA</t>
  </si>
  <si>
    <t>ABW</t>
  </si>
  <si>
    <t>BON</t>
  </si>
  <si>
    <t>ANT</t>
  </si>
  <si>
    <t>CUR</t>
  </si>
  <si>
    <t>EUX</t>
  </si>
  <si>
    <t>SXM</t>
  </si>
  <si>
    <t>AXA</t>
  </si>
  <si>
    <t>AIA</t>
  </si>
  <si>
    <t>TAB</t>
  </si>
  <si>
    <t>TTO</t>
  </si>
  <si>
    <t>POS</t>
  </si>
  <si>
    <t>EIS</t>
  </si>
  <si>
    <t>AET</t>
  </si>
  <si>
    <t>CIW</t>
  </si>
  <si>
    <t>MQS</t>
  </si>
  <si>
    <t>SVD</t>
  </si>
  <si>
    <t>ALA</t>
  </si>
  <si>
    <t>KAZ</t>
  </si>
  <si>
    <t>TSE</t>
  </si>
  <si>
    <t>DMB</t>
  </si>
  <si>
    <t>FRU</t>
  </si>
  <si>
    <t>KGZ</t>
  </si>
  <si>
    <t>OSS</t>
  </si>
  <si>
    <t>CIT</t>
  </si>
  <si>
    <t>YAK</t>
  </si>
  <si>
    <t>URA</t>
  </si>
  <si>
    <t>PWQ</t>
  </si>
  <si>
    <t>PLX</t>
  </si>
  <si>
    <t>AKX</t>
  </si>
  <si>
    <t>GYD</t>
  </si>
  <si>
    <t>YKS</t>
  </si>
  <si>
    <t>MJZ</t>
  </si>
  <si>
    <t>BQS</t>
  </si>
  <si>
    <t>KHV</t>
  </si>
  <si>
    <t>MQT</t>
  </si>
  <si>
    <t>PVS</t>
  </si>
  <si>
    <t>GDX</t>
  </si>
  <si>
    <t>PWE</t>
  </si>
  <si>
    <t>PKC</t>
  </si>
  <si>
    <t>UUS</t>
  </si>
  <si>
    <t>VVO</t>
  </si>
  <si>
    <t>HTA</t>
  </si>
  <si>
    <t>BTK</t>
  </si>
  <si>
    <t>IKT</t>
  </si>
  <si>
    <t>UUD</t>
  </si>
  <si>
    <t>KBP</t>
  </si>
  <si>
    <t>UKR</t>
  </si>
  <si>
    <t>DOK</t>
  </si>
  <si>
    <t>SIP</t>
  </si>
  <si>
    <t>IEV</t>
  </si>
  <si>
    <t>LWO</t>
  </si>
  <si>
    <t>IMT</t>
  </si>
  <si>
    <t>ODS</t>
  </si>
  <si>
    <t>LED</t>
  </si>
  <si>
    <t>MMK</t>
  </si>
  <si>
    <t>GME</t>
  </si>
  <si>
    <t>BLR</t>
  </si>
  <si>
    <t>VTB</t>
  </si>
  <si>
    <t>KGD</t>
  </si>
  <si>
    <t>MHP</t>
  </si>
  <si>
    <t>MSQ</t>
  </si>
  <si>
    <t>ABA</t>
  </si>
  <si>
    <t>BAX</t>
  </si>
  <si>
    <t>KEJ</t>
  </si>
  <si>
    <t>OMS</t>
  </si>
  <si>
    <t>KRR</t>
  </si>
  <si>
    <t>MCX</t>
  </si>
  <si>
    <t>MRV</t>
  </si>
  <si>
    <t>STW</t>
  </si>
  <si>
    <t>ROV</t>
  </si>
  <si>
    <t>AER</t>
  </si>
  <si>
    <t>ASF</t>
  </si>
  <si>
    <t>VOG</t>
  </si>
  <si>
    <t>CEK</t>
  </si>
  <si>
    <t>MQF</t>
  </si>
  <si>
    <t>GBZ</t>
  </si>
  <si>
    <t>NJC</t>
  </si>
  <si>
    <t>PEE</t>
  </si>
  <si>
    <t>SGC</t>
  </si>
  <si>
    <t>SVX</t>
  </si>
  <si>
    <t>ASB</t>
  </si>
  <si>
    <t>KRW</t>
  </si>
  <si>
    <t>DYU</t>
  </si>
  <si>
    <t>TJK</t>
  </si>
  <si>
    <t>BHK</t>
  </si>
  <si>
    <t>SKD</t>
  </si>
  <si>
    <t>IUD</t>
  </si>
  <si>
    <t>TAS</t>
  </si>
  <si>
    <t>BZK</t>
  </si>
  <si>
    <t>KLD</t>
  </si>
  <si>
    <t>VOZ</t>
  </si>
  <si>
    <t>VKO</t>
  </si>
  <si>
    <t>SCW</t>
  </si>
  <si>
    <t>KZN</t>
  </si>
  <si>
    <t>REN</t>
  </si>
  <si>
    <t>UFA</t>
  </si>
  <si>
    <t>KBY</t>
  </si>
  <si>
    <t>AMD</t>
  </si>
  <si>
    <t>AKD</t>
  </si>
  <si>
    <t>IXU</t>
  </si>
  <si>
    <t>PAB</t>
  </si>
  <si>
    <t>BHJ</t>
  </si>
  <si>
    <t>IXG</t>
  </si>
  <si>
    <t>BDQ</t>
  </si>
  <si>
    <t>BHO</t>
  </si>
  <si>
    <t>BHU</t>
  </si>
  <si>
    <t>NMB</t>
  </si>
  <si>
    <t>GOI</t>
  </si>
  <si>
    <t>IDR</t>
  </si>
  <si>
    <t>JLR</t>
  </si>
  <si>
    <t>JGA</t>
  </si>
  <si>
    <t>IXY</t>
  </si>
  <si>
    <t>HJR</t>
  </si>
  <si>
    <t>KLH</t>
  </si>
  <si>
    <t>IXK</t>
  </si>
  <si>
    <t>NAG</t>
  </si>
  <si>
    <t>ISK</t>
  </si>
  <si>
    <t>PNQ</t>
  </si>
  <si>
    <t>PBD</t>
  </si>
  <si>
    <t>RAJ</t>
  </si>
  <si>
    <t>RPR</t>
  </si>
  <si>
    <t>SSE</t>
  </si>
  <si>
    <t>STV</t>
  </si>
  <si>
    <t>UDR</t>
  </si>
  <si>
    <t>LKA</t>
  </si>
  <si>
    <t>RML</t>
  </si>
  <si>
    <t>GOY</t>
  </si>
  <si>
    <t>JAF</t>
  </si>
  <si>
    <t>TRR</t>
  </si>
  <si>
    <t>KIK</t>
  </si>
  <si>
    <t>KHM</t>
  </si>
  <si>
    <t>PNH</t>
  </si>
  <si>
    <t>REP</t>
  </si>
  <si>
    <t>IXA</t>
  </si>
  <si>
    <t>AJL</t>
  </si>
  <si>
    <t>IXB</t>
  </si>
  <si>
    <t>BBI</t>
  </si>
  <si>
    <t>CCU</t>
  </si>
  <si>
    <t>COH</t>
  </si>
  <si>
    <t>DBD</t>
  </si>
  <si>
    <t>ESC</t>
  </si>
  <si>
    <t>GAY</t>
  </si>
  <si>
    <t>IMF</t>
  </si>
  <si>
    <t>IXW</t>
  </si>
  <si>
    <t>JRH</t>
  </si>
  <si>
    <t>IXH</t>
  </si>
  <si>
    <t>IXS</t>
  </si>
  <si>
    <t>IXI</t>
  </si>
  <si>
    <t>MOH</t>
  </si>
  <si>
    <t>PAT</t>
  </si>
  <si>
    <t>IXR</t>
  </si>
  <si>
    <t>RRK</t>
  </si>
  <si>
    <t>VTZ</t>
  </si>
  <si>
    <t>CXB</t>
  </si>
  <si>
    <t>BGD</t>
  </si>
  <si>
    <t>CGP</t>
  </si>
  <si>
    <t>IRD</t>
  </si>
  <si>
    <t>JSR</t>
  </si>
  <si>
    <t>RJH</t>
  </si>
  <si>
    <t>SPD</t>
  </si>
  <si>
    <t>ZYL</t>
  </si>
  <si>
    <t>DAC</t>
  </si>
  <si>
    <t>HKG</t>
  </si>
  <si>
    <t>AGR</t>
  </si>
  <si>
    <t>IXD</t>
  </si>
  <si>
    <t>ATQ</t>
  </si>
  <si>
    <t>VNS</t>
  </si>
  <si>
    <t>KUU</t>
  </si>
  <si>
    <t>IXC</t>
  </si>
  <si>
    <t>DED</t>
  </si>
  <si>
    <t>DEL</t>
  </si>
  <si>
    <t>GWL</t>
  </si>
  <si>
    <t>JDH</t>
  </si>
  <si>
    <t>JAI</t>
  </si>
  <si>
    <t>JSA</t>
  </si>
  <si>
    <t>IXJ</t>
  </si>
  <si>
    <t>KNU</t>
  </si>
  <si>
    <t>KTU</t>
  </si>
  <si>
    <t>LUH</t>
  </si>
  <si>
    <t>IXL</t>
  </si>
  <si>
    <t>LKO</t>
  </si>
  <si>
    <t>IXP</t>
  </si>
  <si>
    <t>PGH</t>
  </si>
  <si>
    <t>SXR</t>
  </si>
  <si>
    <t>TNI</t>
  </si>
  <si>
    <t>BXH</t>
  </si>
  <si>
    <t>LPQ</t>
  </si>
  <si>
    <t>PKZ</t>
  </si>
  <si>
    <t>ZVK</t>
  </si>
  <si>
    <t>VTE</t>
  </si>
  <si>
    <t>MFM</t>
  </si>
  <si>
    <t>KTM</t>
  </si>
  <si>
    <t>PKR</t>
  </si>
  <si>
    <t>SIF</t>
  </si>
  <si>
    <t>BIR</t>
  </si>
  <si>
    <t>AGX</t>
  </si>
  <si>
    <t>BEP</t>
  </si>
  <si>
    <t>VGA</t>
  </si>
  <si>
    <t>CJB</t>
  </si>
  <si>
    <t>CCJ</t>
  </si>
  <si>
    <t>CDP</t>
  </si>
  <si>
    <t>HYD</t>
  </si>
  <si>
    <t>IXM</t>
  </si>
  <si>
    <t>IXE</t>
  </si>
  <si>
    <t>MAA</t>
  </si>
  <si>
    <t>IXZ</t>
  </si>
  <si>
    <t>PNY</t>
  </si>
  <si>
    <t>RJA</t>
  </si>
  <si>
    <t>TIR</t>
  </si>
  <si>
    <t>TRZ</t>
  </si>
  <si>
    <t>TRV</t>
  </si>
  <si>
    <t>PBH</t>
  </si>
  <si>
    <t>BTN</t>
  </si>
  <si>
    <t>MLE</t>
  </si>
  <si>
    <t>DMK</t>
  </si>
  <si>
    <t>NAH</t>
  </si>
  <si>
    <t>UTP</t>
  </si>
  <si>
    <t>LPT</t>
  </si>
  <si>
    <t>PRH</t>
  </si>
  <si>
    <t>HHQ</t>
  </si>
  <si>
    <t>PHS</t>
  </si>
  <si>
    <t>NAW</t>
  </si>
  <si>
    <t>KBV</t>
  </si>
  <si>
    <t>USM</t>
  </si>
  <si>
    <t>HKT</t>
  </si>
  <si>
    <t>HDY</t>
  </si>
  <si>
    <t>TST</t>
  </si>
  <si>
    <t>UTH</t>
  </si>
  <si>
    <t>SNO</t>
  </si>
  <si>
    <t>LOE</t>
  </si>
  <si>
    <t>OKB</t>
  </si>
  <si>
    <t>DAD</t>
  </si>
  <si>
    <t>HAN</t>
  </si>
  <si>
    <t>NHA</t>
  </si>
  <si>
    <t>SGN</t>
  </si>
  <si>
    <t>BMQ</t>
  </si>
  <si>
    <t>HEH</t>
  </si>
  <si>
    <t>KET</t>
  </si>
  <si>
    <t>MWA</t>
  </si>
  <si>
    <t>KYP</t>
  </si>
  <si>
    <t>LSH</t>
  </si>
  <si>
    <t>MDL</t>
  </si>
  <si>
    <t>MGZ</t>
  </si>
  <si>
    <t>MOG</t>
  </si>
  <si>
    <t>PBU</t>
  </si>
  <si>
    <t>AKY</t>
  </si>
  <si>
    <t>SNW</t>
  </si>
  <si>
    <t>THL</t>
  </si>
  <si>
    <t>RGN</t>
  </si>
  <si>
    <t>UPG</t>
  </si>
  <si>
    <t>BIK</t>
  </si>
  <si>
    <t>NBX</t>
  </si>
  <si>
    <t>TIM</t>
  </si>
  <si>
    <t>DJJ</t>
  </si>
  <si>
    <t>WMX</t>
  </si>
  <si>
    <t>MKQ</t>
  </si>
  <si>
    <t>GTO</t>
  </si>
  <si>
    <t>MDC</t>
  </si>
  <si>
    <t>PSJ</t>
  </si>
  <si>
    <t>OTI</t>
  </si>
  <si>
    <t>TTE</t>
  </si>
  <si>
    <t>LUW</t>
  </si>
  <si>
    <t>AMQ</t>
  </si>
  <si>
    <t>FKQ</t>
  </si>
  <si>
    <t>KNG</t>
  </si>
  <si>
    <t>BXB</t>
  </si>
  <si>
    <t>MKW</t>
  </si>
  <si>
    <t>SOQ</t>
  </si>
  <si>
    <t>BTU</t>
  </si>
  <si>
    <t>KCH</t>
  </si>
  <si>
    <t>LMN</t>
  </si>
  <si>
    <t>MUR</t>
  </si>
  <si>
    <t>MYY</t>
  </si>
  <si>
    <t>SBW</t>
  </si>
  <si>
    <t>LDU</t>
  </si>
  <si>
    <t>BKI</t>
  </si>
  <si>
    <t>LBU</t>
  </si>
  <si>
    <t>TWU</t>
  </si>
  <si>
    <t>BWN</t>
  </si>
  <si>
    <t>PKU</t>
  </si>
  <si>
    <t>DUM</t>
  </si>
  <si>
    <t>CGK</t>
  </si>
  <si>
    <t>GNS</t>
  </si>
  <si>
    <t>PDG</t>
  </si>
  <si>
    <t>MES</t>
  </si>
  <si>
    <t>KTG</t>
  </si>
  <si>
    <t>PNK</t>
  </si>
  <si>
    <t>DJB</t>
  </si>
  <si>
    <t>BKS</t>
  </si>
  <si>
    <t>PLM</t>
  </si>
  <si>
    <t>RGT</t>
  </si>
  <si>
    <t>BZY</t>
  </si>
  <si>
    <t>BTJ</t>
  </si>
  <si>
    <t>AOR</t>
  </si>
  <si>
    <t>KBR</t>
  </si>
  <si>
    <t>KUA</t>
  </si>
  <si>
    <t>KTE</t>
  </si>
  <si>
    <t>IPH</t>
  </si>
  <si>
    <t>JHB</t>
  </si>
  <si>
    <t>KUL</t>
  </si>
  <si>
    <t>LGK</t>
  </si>
  <si>
    <t>MKZ</t>
  </si>
  <si>
    <t>TGG</t>
  </si>
  <si>
    <t>PEN</t>
  </si>
  <si>
    <t>DIL</t>
  </si>
  <si>
    <t>QPG</t>
  </si>
  <si>
    <t>XSP</t>
  </si>
  <si>
    <t>SIN</t>
  </si>
  <si>
    <t>ABM</t>
  </si>
  <si>
    <t>ASP</t>
  </si>
  <si>
    <t>BNE</t>
  </si>
  <si>
    <t>OOL</t>
  </si>
  <si>
    <t>CNS</t>
  </si>
  <si>
    <t>CTL</t>
  </si>
  <si>
    <t>ISA</t>
  </si>
  <si>
    <t>MCY</t>
  </si>
  <si>
    <t>MKY</t>
  </si>
  <si>
    <t>PPP</t>
  </si>
  <si>
    <t>ROK</t>
  </si>
  <si>
    <t>TSV</t>
  </si>
  <si>
    <t>WEI</t>
  </si>
  <si>
    <t>AVV</t>
  </si>
  <si>
    <t>ABX</t>
  </si>
  <si>
    <t>MEB</t>
  </si>
  <si>
    <t>HBA</t>
  </si>
  <si>
    <t>LST</t>
  </si>
  <si>
    <t>MBW</t>
  </si>
  <si>
    <t>MEL</t>
  </si>
  <si>
    <t>ADL</t>
  </si>
  <si>
    <t>JAD</t>
  </si>
  <si>
    <t>KTA</t>
  </si>
  <si>
    <t>KGI</t>
  </si>
  <si>
    <t>KNX</t>
  </si>
  <si>
    <t>LEA</t>
  </si>
  <si>
    <t>PHE</t>
  </si>
  <si>
    <t>UMR</t>
  </si>
  <si>
    <t>XCH</t>
  </si>
  <si>
    <t>CXR</t>
  </si>
  <si>
    <t>BWU</t>
  </si>
  <si>
    <t>CBR</t>
  </si>
  <si>
    <t>CFS</t>
  </si>
  <si>
    <t>CDU</t>
  </si>
  <si>
    <t>DBO</t>
  </si>
  <si>
    <t>NLK</t>
  </si>
  <si>
    <t>NFK</t>
  </si>
  <si>
    <t>RCM</t>
  </si>
  <si>
    <t>SYD</t>
  </si>
  <si>
    <t>TMW</t>
  </si>
  <si>
    <t>WGA</t>
  </si>
  <si>
    <t>HLD</t>
  </si>
  <si>
    <t>TSN</t>
  </si>
  <si>
    <t>TYN</t>
  </si>
  <si>
    <t>CSX</t>
  </si>
  <si>
    <t>KWL</t>
  </si>
  <si>
    <t>NNG</t>
  </si>
  <si>
    <t>SZX</t>
  </si>
  <si>
    <t>CGO</t>
  </si>
  <si>
    <t>WUH</t>
  </si>
  <si>
    <t>FNJ</t>
  </si>
  <si>
    <t>PRK</t>
  </si>
  <si>
    <t>ZGC</t>
  </si>
  <si>
    <t>XIY</t>
  </si>
  <si>
    <t>ULN</t>
  </si>
  <si>
    <t>MNG</t>
  </si>
  <si>
    <t>KMG</t>
  </si>
  <si>
    <t>XMN</t>
  </si>
  <si>
    <t>KHN</t>
  </si>
  <si>
    <t>FOC</t>
  </si>
  <si>
    <t>HGH</t>
  </si>
  <si>
    <t>NGB</t>
  </si>
  <si>
    <t>NKG</t>
  </si>
  <si>
    <t>HFE</t>
  </si>
  <si>
    <t>TAO</t>
  </si>
  <si>
    <t>SHA</t>
  </si>
  <si>
    <t>YNT</t>
  </si>
  <si>
    <t>CKG</t>
  </si>
  <si>
    <t>KWE</t>
  </si>
  <si>
    <t>CTU</t>
  </si>
  <si>
    <t>XIC</t>
  </si>
  <si>
    <t>KHG</t>
  </si>
  <si>
    <t>HTN</t>
  </si>
  <si>
    <t>URC</t>
  </si>
  <si>
    <t>HRB</t>
  </si>
  <si>
    <t>HOJ</t>
  </si>
  <si>
    <t>DLC</t>
  </si>
  <si>
    <t>PVG</t>
  </si>
  <si>
    <t>TOD</t>
  </si>
  <si>
    <t>SZB</t>
  </si>
  <si>
    <t>NTQ</t>
  </si>
  <si>
    <t>HBE</t>
  </si>
  <si>
    <t>BTI</t>
  </si>
  <si>
    <t>K03</t>
  </si>
  <si>
    <t>LUR</t>
  </si>
  <si>
    <t>PIZ</t>
  </si>
  <si>
    <t>ITO</t>
  </si>
  <si>
    <t>ORL</t>
  </si>
  <si>
    <t>BTT</t>
  </si>
  <si>
    <t>Z84</t>
  </si>
  <si>
    <t>UTO</t>
  </si>
  <si>
    <t>FYU</t>
  </si>
  <si>
    <t>SVW</t>
  </si>
  <si>
    <t>FRN</t>
  </si>
  <si>
    <t>TLJ</t>
  </si>
  <si>
    <t>CZF</t>
  </si>
  <si>
    <t>BED</t>
  </si>
  <si>
    <t>SNP</t>
  </si>
  <si>
    <t>EHM</t>
  </si>
  <si>
    <t>PBV</t>
  </si>
  <si>
    <t>ILI</t>
  </si>
  <si>
    <t>PTU</t>
  </si>
  <si>
    <t>BMX</t>
  </si>
  <si>
    <t>OSC</t>
  </si>
  <si>
    <t>OAR</t>
  </si>
  <si>
    <t>MHR</t>
  </si>
  <si>
    <t>BYS</t>
  </si>
  <si>
    <t>NXP</t>
  </si>
  <si>
    <t>MRI</t>
  </si>
  <si>
    <t>GNT</t>
  </si>
  <si>
    <t>PNC</t>
  </si>
  <si>
    <t>GFK</t>
  </si>
  <si>
    <t>PBF</t>
  </si>
  <si>
    <t>NSE</t>
  </si>
  <si>
    <t>HNM</t>
  </si>
  <si>
    <t>PRC</t>
  </si>
  <si>
    <t>TTN</t>
  </si>
  <si>
    <t>BOS</t>
  </si>
  <si>
    <t>SUU</t>
  </si>
  <si>
    <t>RME</t>
  </si>
  <si>
    <t>ENV</t>
  </si>
  <si>
    <t>BFM</t>
  </si>
  <si>
    <t>OAK</t>
  </si>
  <si>
    <t>OMA</t>
  </si>
  <si>
    <t>NOW</t>
  </si>
  <si>
    <t>OGG</t>
  </si>
  <si>
    <t>ICT</t>
  </si>
  <si>
    <t>MCI</t>
  </si>
  <si>
    <t>MSN</t>
  </si>
  <si>
    <t>DLG</t>
  </si>
  <si>
    <t>HRO</t>
  </si>
  <si>
    <t>PHX</t>
  </si>
  <si>
    <t>FXE</t>
  </si>
  <si>
    <t>GGG</t>
  </si>
  <si>
    <t>AND</t>
  </si>
  <si>
    <t>GEG</t>
  </si>
  <si>
    <t>HWO</t>
  </si>
  <si>
    <t>CTB</t>
  </si>
  <si>
    <t>ARA</t>
  </si>
  <si>
    <t>GNV</t>
  </si>
  <si>
    <t>MEM</t>
  </si>
  <si>
    <t>DUG</t>
  </si>
  <si>
    <t>BIG</t>
  </si>
  <si>
    <t>CNW</t>
  </si>
  <si>
    <t>ANN</t>
  </si>
  <si>
    <t>CAR</t>
  </si>
  <si>
    <t>LRF</t>
  </si>
  <si>
    <t>HUA</t>
  </si>
  <si>
    <t>POB</t>
  </si>
  <si>
    <t>DHT</t>
  </si>
  <si>
    <t>DLF</t>
  </si>
  <si>
    <t>ANB</t>
  </si>
  <si>
    <t>CLE</t>
  </si>
  <si>
    <t>DOV</t>
  </si>
  <si>
    <t>CVG</t>
  </si>
  <si>
    <t>FME</t>
  </si>
  <si>
    <t>NID</t>
  </si>
  <si>
    <t>HON</t>
  </si>
  <si>
    <t>JNU</t>
  </si>
  <si>
    <t>LFT</t>
  </si>
  <si>
    <t>EWR</t>
  </si>
  <si>
    <t>BOI</t>
  </si>
  <si>
    <t>INS</t>
  </si>
  <si>
    <t>GCK</t>
  </si>
  <si>
    <t>MOT</t>
  </si>
  <si>
    <t>HHI</t>
  </si>
  <si>
    <t>MXF</t>
  </si>
  <si>
    <t>RBM</t>
  </si>
  <si>
    <t>DAL</t>
  </si>
  <si>
    <t>FCS</t>
  </si>
  <si>
    <t>HLN</t>
  </si>
  <si>
    <t>NKX</t>
  </si>
  <si>
    <t>LUF</t>
  </si>
  <si>
    <t>HRT</t>
  </si>
  <si>
    <t>HHR</t>
  </si>
  <si>
    <t>HUL</t>
  </si>
  <si>
    <t>END</t>
  </si>
  <si>
    <t>NTD</t>
  </si>
  <si>
    <t>EDW</t>
  </si>
  <si>
    <t>LCH</t>
  </si>
  <si>
    <t>KOA</t>
  </si>
  <si>
    <t>MYR</t>
  </si>
  <si>
    <t>NLC</t>
  </si>
  <si>
    <t>ACK</t>
  </si>
  <si>
    <t>FAF</t>
  </si>
  <si>
    <t>HOP</t>
  </si>
  <si>
    <t>NHK</t>
  </si>
  <si>
    <t>PSX</t>
  </si>
  <si>
    <t>BYH</t>
  </si>
  <si>
    <t>ACY</t>
  </si>
  <si>
    <t>TIK</t>
  </si>
  <si>
    <t>ECG</t>
  </si>
  <si>
    <t>PUB</t>
  </si>
  <si>
    <t>PQI</t>
  </si>
  <si>
    <t>IKR</t>
  </si>
  <si>
    <t>GRF</t>
  </si>
  <si>
    <t>ADQ</t>
  </si>
  <si>
    <t>UPP</t>
  </si>
  <si>
    <t>FLL</t>
  </si>
  <si>
    <t>MKO</t>
  </si>
  <si>
    <t>INL</t>
  </si>
  <si>
    <t>SLC</t>
  </si>
  <si>
    <t>CDS</t>
  </si>
  <si>
    <t>BIX</t>
  </si>
  <si>
    <t>LSF</t>
  </si>
  <si>
    <t>NQI</t>
  </si>
  <si>
    <t>MDT</t>
  </si>
  <si>
    <t>LNK</t>
  </si>
  <si>
    <t>LAN</t>
  </si>
  <si>
    <t>MUE</t>
  </si>
  <si>
    <t>MSS</t>
  </si>
  <si>
    <t>HKY</t>
  </si>
  <si>
    <t>FMY</t>
  </si>
  <si>
    <t>IAH</t>
  </si>
  <si>
    <t>ADW</t>
  </si>
  <si>
    <t>INT</t>
  </si>
  <si>
    <t>VCV</t>
  </si>
  <si>
    <t>CEW</t>
  </si>
  <si>
    <t>GTB</t>
  </si>
  <si>
    <t>PHN</t>
  </si>
  <si>
    <t>BFL</t>
  </si>
  <si>
    <t>ELP</t>
  </si>
  <si>
    <t>HRL</t>
  </si>
  <si>
    <t>CAE</t>
  </si>
  <si>
    <t>NPA</t>
  </si>
  <si>
    <t>PNS</t>
  </si>
  <si>
    <t>RDR</t>
  </si>
  <si>
    <t>HOU</t>
  </si>
  <si>
    <t>BKF</t>
  </si>
  <si>
    <t>ORT</t>
  </si>
  <si>
    <t>PAQ</t>
  </si>
  <si>
    <t>PIT</t>
  </si>
  <si>
    <t>BRW</t>
  </si>
  <si>
    <t>EFD</t>
  </si>
  <si>
    <t>NUW</t>
  </si>
  <si>
    <t>ALI</t>
  </si>
  <si>
    <t>VAD</t>
  </si>
  <si>
    <t>MIA</t>
  </si>
  <si>
    <t>SEA</t>
  </si>
  <si>
    <t>CHA</t>
  </si>
  <si>
    <t>BDR</t>
  </si>
  <si>
    <t>JAN</t>
  </si>
  <si>
    <t>GLS</t>
  </si>
  <si>
    <t>LGB</t>
  </si>
  <si>
    <t>HDH</t>
  </si>
  <si>
    <t>IPT</t>
  </si>
  <si>
    <t>SZL</t>
  </si>
  <si>
    <t>AKC</t>
  </si>
  <si>
    <t>GWO</t>
  </si>
  <si>
    <t>HPN</t>
  </si>
  <si>
    <t>FOK</t>
  </si>
  <si>
    <t>JBR</t>
  </si>
  <si>
    <t>TNX</t>
  </si>
  <si>
    <t>LNA</t>
  </si>
  <si>
    <t>NZY</t>
  </si>
  <si>
    <t>BIF</t>
  </si>
  <si>
    <t>YUM</t>
  </si>
  <si>
    <t>CNM</t>
  </si>
  <si>
    <t>DLH</t>
  </si>
  <si>
    <t>BET</t>
  </si>
  <si>
    <t>LOU</t>
  </si>
  <si>
    <t>FHU</t>
  </si>
  <si>
    <t>LIH</t>
  </si>
  <si>
    <t>HUF</t>
  </si>
  <si>
    <t>HVR</t>
  </si>
  <si>
    <t>MWH</t>
  </si>
  <si>
    <t>MPV</t>
  </si>
  <si>
    <t>RIC</t>
  </si>
  <si>
    <t>SHV</t>
  </si>
  <si>
    <t>CDV</t>
  </si>
  <si>
    <t>ORF</t>
  </si>
  <si>
    <t>BPT</t>
  </si>
  <si>
    <t>SAV</t>
  </si>
  <si>
    <t>HIF</t>
  </si>
  <si>
    <t>OME</t>
  </si>
  <si>
    <t>SPB</t>
  </si>
  <si>
    <t>PIE</t>
  </si>
  <si>
    <t>MNM</t>
  </si>
  <si>
    <t>CXO</t>
  </si>
  <si>
    <t>SCC</t>
  </si>
  <si>
    <t>ROC</t>
  </si>
  <si>
    <t>COF</t>
  </si>
  <si>
    <t>TEB</t>
  </si>
  <si>
    <t>RCA</t>
  </si>
  <si>
    <t>RDU</t>
  </si>
  <si>
    <t>DAY</t>
  </si>
  <si>
    <t>ENA</t>
  </si>
  <si>
    <t>MLC</t>
  </si>
  <si>
    <t>IAG</t>
  </si>
  <si>
    <t>CFD</t>
  </si>
  <si>
    <t>PHF</t>
  </si>
  <si>
    <t>ESF</t>
  </si>
  <si>
    <t>LTS</t>
  </si>
  <si>
    <t>TUS</t>
  </si>
  <si>
    <t>MIB</t>
  </si>
  <si>
    <t>BAB</t>
  </si>
  <si>
    <t>IKK</t>
  </si>
  <si>
    <t>GSB</t>
  </si>
  <si>
    <t>PVD</t>
  </si>
  <si>
    <t>SBY</t>
  </si>
  <si>
    <t>RIU</t>
  </si>
  <si>
    <t>BUR</t>
  </si>
  <si>
    <t>DTW</t>
  </si>
  <si>
    <t>TPA</t>
  </si>
  <si>
    <t>PMB</t>
  </si>
  <si>
    <t>POE</t>
  </si>
  <si>
    <t>EIL</t>
  </si>
  <si>
    <t>HIB</t>
  </si>
  <si>
    <t>LFK</t>
  </si>
  <si>
    <t>MAF</t>
  </si>
  <si>
    <t>GRB</t>
  </si>
  <si>
    <t>ADM</t>
  </si>
  <si>
    <t>WRI</t>
  </si>
  <si>
    <t>NKT</t>
  </si>
  <si>
    <t>SBO</t>
  </si>
  <si>
    <t>AGS</t>
  </si>
  <si>
    <t>ISN</t>
  </si>
  <si>
    <t>LIT</t>
  </si>
  <si>
    <t>SWF</t>
  </si>
  <si>
    <t>BDE</t>
  </si>
  <si>
    <t>SAC</t>
  </si>
  <si>
    <t>HOM</t>
  </si>
  <si>
    <t>TBN</t>
  </si>
  <si>
    <t>MGE</t>
  </si>
  <si>
    <t>SKA</t>
  </si>
  <si>
    <t>HTL</t>
  </si>
  <si>
    <t>PAM</t>
  </si>
  <si>
    <t>DFW</t>
  </si>
  <si>
    <t>MLB</t>
  </si>
  <si>
    <t>TCM</t>
  </si>
  <si>
    <t>LCK</t>
  </si>
  <si>
    <t>TYS</t>
  </si>
  <si>
    <t>HLR</t>
  </si>
  <si>
    <t>STL</t>
  </si>
  <si>
    <t>MIV</t>
  </si>
  <si>
    <t>SPS</t>
  </si>
  <si>
    <t>LUK</t>
  </si>
  <si>
    <t>ATL</t>
  </si>
  <si>
    <t>MER</t>
  </si>
  <si>
    <t>MCC</t>
  </si>
  <si>
    <t>GRR</t>
  </si>
  <si>
    <t>INK</t>
  </si>
  <si>
    <t>FAT</t>
  </si>
  <si>
    <t>VRB</t>
  </si>
  <si>
    <t>IPL</t>
  </si>
  <si>
    <t>BNA</t>
  </si>
  <si>
    <t>LRD</t>
  </si>
  <si>
    <t>EDF</t>
  </si>
  <si>
    <t>OTZ</t>
  </si>
  <si>
    <t>AOO</t>
  </si>
  <si>
    <t>DYS</t>
  </si>
  <si>
    <t>ELD</t>
  </si>
  <si>
    <t>TLH</t>
  </si>
  <si>
    <t>DPA</t>
  </si>
  <si>
    <t>ACT</t>
  </si>
  <si>
    <t>AUG</t>
  </si>
  <si>
    <t>INJ</t>
  </si>
  <si>
    <t>NIP</t>
  </si>
  <si>
    <t>MKL</t>
  </si>
  <si>
    <t>MKK</t>
  </si>
  <si>
    <t>FTK</t>
  </si>
  <si>
    <t>SJT</t>
  </si>
  <si>
    <t>CXL</t>
  </si>
  <si>
    <t>CIC</t>
  </si>
  <si>
    <t>BTV</t>
  </si>
  <si>
    <t>JAX</t>
  </si>
  <si>
    <t>DRO</t>
  </si>
  <si>
    <t>CLL</t>
  </si>
  <si>
    <t>SFF</t>
  </si>
  <si>
    <t>MKE</t>
  </si>
  <si>
    <t>ABI</t>
  </si>
  <si>
    <t>COU</t>
  </si>
  <si>
    <t>PDX</t>
  </si>
  <si>
    <t>TNT</t>
  </si>
  <si>
    <t>PBI</t>
  </si>
  <si>
    <t>FTW</t>
  </si>
  <si>
    <t>OGS</t>
  </si>
  <si>
    <t>FMH</t>
  </si>
  <si>
    <t>BFI</t>
  </si>
  <si>
    <t>SKF</t>
  </si>
  <si>
    <t>HNL</t>
  </si>
  <si>
    <t>DSM</t>
  </si>
  <si>
    <t>EWN</t>
  </si>
  <si>
    <t>SAN</t>
  </si>
  <si>
    <t>MLU</t>
  </si>
  <si>
    <t>SSC</t>
  </si>
  <si>
    <t>ONT</t>
  </si>
  <si>
    <t>GVT</t>
  </si>
  <si>
    <t>ROW</t>
  </si>
  <si>
    <t>DET</t>
  </si>
  <si>
    <t>BRO</t>
  </si>
  <si>
    <t>DHN</t>
  </si>
  <si>
    <t>WWD</t>
  </si>
  <si>
    <t>NFL</t>
  </si>
  <si>
    <t>MTC</t>
  </si>
  <si>
    <t>FMN</t>
  </si>
  <si>
    <t>CRP</t>
  </si>
  <si>
    <t>NQX</t>
  </si>
  <si>
    <t>MDW</t>
  </si>
  <si>
    <t>SJC</t>
  </si>
  <si>
    <t>HOB</t>
  </si>
  <si>
    <t>PNE</t>
  </si>
  <si>
    <t>DEN</t>
  </si>
  <si>
    <t>SUX</t>
  </si>
  <si>
    <t>MCN</t>
  </si>
  <si>
    <t>TCS</t>
  </si>
  <si>
    <t>PMD</t>
  </si>
  <si>
    <t>RND</t>
  </si>
  <si>
    <t>NJK</t>
  </si>
  <si>
    <t>CMH</t>
  </si>
  <si>
    <t>FYV</t>
  </si>
  <si>
    <t>FSI</t>
  </si>
  <si>
    <t>PNM</t>
  </si>
  <si>
    <t>FFO</t>
  </si>
  <si>
    <t>GAL</t>
  </si>
  <si>
    <t>MWL</t>
  </si>
  <si>
    <t>IAB</t>
  </si>
  <si>
    <t>NBG</t>
  </si>
  <si>
    <t>BFT</t>
  </si>
  <si>
    <t>TXK</t>
  </si>
  <si>
    <t>PBG</t>
  </si>
  <si>
    <t>APG</t>
  </si>
  <si>
    <t>TCC</t>
  </si>
  <si>
    <t>ANC</t>
  </si>
  <si>
    <t>GRK</t>
  </si>
  <si>
    <t>ZUN</t>
  </si>
  <si>
    <t>BLI</t>
  </si>
  <si>
    <t>NQA</t>
  </si>
  <si>
    <t>EKN</t>
  </si>
  <si>
    <t>HFD</t>
  </si>
  <si>
    <t>SFZ</t>
  </si>
  <si>
    <t>MOB</t>
  </si>
  <si>
    <t>NUQ</t>
  </si>
  <si>
    <t>SAF</t>
  </si>
  <si>
    <t>BKH</t>
  </si>
  <si>
    <t>DRI</t>
  </si>
  <si>
    <t>BSF</t>
  </si>
  <si>
    <t>OLS</t>
  </si>
  <si>
    <t>MCF</t>
  </si>
  <si>
    <t>BLV</t>
  </si>
  <si>
    <t>OPF</t>
  </si>
  <si>
    <t>DRT</t>
  </si>
  <si>
    <t>RSW</t>
  </si>
  <si>
    <t>AKN</t>
  </si>
  <si>
    <t>MUI</t>
  </si>
  <si>
    <t>JHM</t>
  </si>
  <si>
    <t>HST</t>
  </si>
  <si>
    <t>RAL</t>
  </si>
  <si>
    <t>FLV</t>
  </si>
  <si>
    <t>WAL</t>
  </si>
  <si>
    <t>HMN</t>
  </si>
  <si>
    <t>NXX</t>
  </si>
  <si>
    <t>CYS</t>
  </si>
  <si>
    <t>SCK</t>
  </si>
  <si>
    <t>CHS</t>
  </si>
  <si>
    <t>RNO</t>
  </si>
  <si>
    <t>KTN</t>
  </si>
  <si>
    <t>YIP</t>
  </si>
  <si>
    <t>VBG</t>
  </si>
  <si>
    <t>BHM</t>
  </si>
  <si>
    <t>NEL</t>
  </si>
  <si>
    <t>SYA</t>
  </si>
  <si>
    <t>LSV</t>
  </si>
  <si>
    <t>RIV</t>
  </si>
  <si>
    <t>MOD</t>
  </si>
  <si>
    <t>SMF</t>
  </si>
  <si>
    <t>UGN</t>
  </si>
  <si>
    <t>COS</t>
  </si>
  <si>
    <t>BUF</t>
  </si>
  <si>
    <t>SKY</t>
  </si>
  <si>
    <t>PAE</t>
  </si>
  <si>
    <t>MUO</t>
  </si>
  <si>
    <t>CDC</t>
  </si>
  <si>
    <t>BDL</t>
  </si>
  <si>
    <t>MFE</t>
  </si>
  <si>
    <t>NGU</t>
  </si>
  <si>
    <t>CEF</t>
  </si>
  <si>
    <t>LBB</t>
  </si>
  <si>
    <t>BCT</t>
  </si>
  <si>
    <t>FAI</t>
  </si>
  <si>
    <t>NYG</t>
  </si>
  <si>
    <t>CVS</t>
  </si>
  <si>
    <t>NGF</t>
  </si>
  <si>
    <t>OFF</t>
  </si>
  <si>
    <t>GKN</t>
  </si>
  <si>
    <t>ART</t>
  </si>
  <si>
    <t>PSP</t>
  </si>
  <si>
    <t>AMA</t>
  </si>
  <si>
    <t>FOD</t>
  </si>
  <si>
    <t>BAD</t>
  </si>
  <si>
    <t>FOE</t>
  </si>
  <si>
    <t>COT</t>
  </si>
  <si>
    <t>ILM</t>
  </si>
  <si>
    <t>BTR</t>
  </si>
  <si>
    <t>NMM</t>
  </si>
  <si>
    <t>TYR</t>
  </si>
  <si>
    <t>BWI</t>
  </si>
  <si>
    <t>HBR</t>
  </si>
  <si>
    <t>LNY</t>
  </si>
  <si>
    <t>AEX</t>
  </si>
  <si>
    <t>WSD</t>
  </si>
  <si>
    <t>CDB</t>
  </si>
  <si>
    <t>TUL</t>
  </si>
  <si>
    <t>SIT</t>
  </si>
  <si>
    <t>ISP</t>
  </si>
  <si>
    <t>MSP</t>
  </si>
  <si>
    <t>ILG</t>
  </si>
  <si>
    <t>DUT</t>
  </si>
  <si>
    <t>MSY</t>
  </si>
  <si>
    <t>PWM</t>
  </si>
  <si>
    <t>OKC</t>
  </si>
  <si>
    <t>VDZ</t>
  </si>
  <si>
    <t>LFI</t>
  </si>
  <si>
    <t>SNA</t>
  </si>
  <si>
    <t>CBM</t>
  </si>
  <si>
    <t>TMB</t>
  </si>
  <si>
    <t>NTU</t>
  </si>
  <si>
    <t>GUS</t>
  </si>
  <si>
    <t>CPR</t>
  </si>
  <si>
    <t>VPS</t>
  </si>
  <si>
    <t>SEM</t>
  </si>
  <si>
    <t>EYW</t>
  </si>
  <si>
    <t>CLT</t>
  </si>
  <si>
    <t>LAS</t>
  </si>
  <si>
    <t>MCO</t>
  </si>
  <si>
    <t>FLO</t>
  </si>
  <si>
    <t>GTF</t>
  </si>
  <si>
    <t>YNG</t>
  </si>
  <si>
    <t>FBK</t>
  </si>
  <si>
    <t>MMV</t>
  </si>
  <si>
    <t>WRB</t>
  </si>
  <si>
    <t>BKK</t>
  </si>
  <si>
    <t>KDI</t>
  </si>
  <si>
    <t>SBG</t>
  </si>
  <si>
    <t>MLG</t>
  </si>
  <si>
    <t>BDO</t>
  </si>
  <si>
    <t>CBN</t>
  </si>
  <si>
    <t>JOG</t>
  </si>
  <si>
    <t>CXP</t>
  </si>
  <si>
    <t>PCB</t>
  </si>
  <si>
    <t>SRG</t>
  </si>
  <si>
    <t>BTH</t>
  </si>
  <si>
    <t>TJQ</t>
  </si>
  <si>
    <t>PGK</t>
  </si>
  <si>
    <t>TNJ</t>
  </si>
  <si>
    <t>SIQ</t>
  </si>
  <si>
    <t>BDJ</t>
  </si>
  <si>
    <t>PKN</t>
  </si>
  <si>
    <t>PKY</t>
  </si>
  <si>
    <t>MOF</t>
  </si>
  <si>
    <t>ENE</t>
  </si>
  <si>
    <t>RTG</t>
  </si>
  <si>
    <t>KOE</t>
  </si>
  <si>
    <t>LBJ</t>
  </si>
  <si>
    <t>BPN</t>
  </si>
  <si>
    <t>TRK</t>
  </si>
  <si>
    <t>SRI</t>
  </si>
  <si>
    <t>AMI</t>
  </si>
  <si>
    <t>BMU</t>
  </si>
  <si>
    <t>WGP</t>
  </si>
  <si>
    <t>SUB</t>
  </si>
  <si>
    <t>SOC</t>
  </si>
  <si>
    <t>CNX</t>
  </si>
  <si>
    <t>CEI</t>
  </si>
  <si>
    <t>NST</t>
  </si>
  <si>
    <t>DPS</t>
  </si>
  <si>
    <t>NAK</t>
  </si>
  <si>
    <t>KOP</t>
  </si>
  <si>
    <t>UBP</t>
  </si>
  <si>
    <t>KKC</t>
  </si>
  <si>
    <t>THS</t>
  </si>
  <si>
    <t>NGO</t>
  </si>
  <si>
    <t>UKB</t>
  </si>
  <si>
    <t>PUW</t>
  </si>
  <si>
    <t>LWS</t>
  </si>
  <si>
    <t>ELM</t>
  </si>
  <si>
    <t>ITH</t>
  </si>
  <si>
    <t>MRY</t>
  </si>
  <si>
    <t>SBA</t>
  </si>
  <si>
    <t>DAB</t>
  </si>
  <si>
    <t>LPX</t>
  </si>
  <si>
    <t>SQQ</t>
  </si>
  <si>
    <t>LTU</t>
  </si>
  <si>
    <t>HLJ</t>
  </si>
  <si>
    <t>KUN</t>
  </si>
  <si>
    <t>PLQ</t>
  </si>
  <si>
    <t>VNO</t>
  </si>
  <si>
    <t>PNV</t>
  </si>
  <si>
    <t>ARM</t>
  </si>
  <si>
    <t>EVN</t>
  </si>
  <si>
    <t>LWN</t>
  </si>
  <si>
    <t>ASA</t>
  </si>
  <si>
    <t>MSW</t>
  </si>
  <si>
    <t>GZA</t>
  </si>
  <si>
    <t>RIY</t>
  </si>
  <si>
    <t>YEM</t>
  </si>
  <si>
    <t>BUS</t>
  </si>
  <si>
    <t>KUT</t>
  </si>
  <si>
    <t>TBS</t>
  </si>
  <si>
    <t>TAI</t>
  </si>
  <si>
    <t>HOD</t>
  </si>
  <si>
    <t>ADE</t>
  </si>
  <si>
    <t>AXK</t>
  </si>
  <si>
    <t>AAY</t>
  </si>
  <si>
    <t>SAH</t>
  </si>
  <si>
    <t>FMM</t>
  </si>
  <si>
    <t>BHN</t>
  </si>
  <si>
    <t>SCT</t>
  </si>
  <si>
    <t>NAV</t>
  </si>
  <si>
    <t>EZE</t>
  </si>
  <si>
    <t>EBL</t>
  </si>
  <si>
    <t>EMD</t>
  </si>
  <si>
    <t>KIX</t>
  </si>
  <si>
    <t>JRB</t>
  </si>
  <si>
    <t>TAG</t>
  </si>
  <si>
    <t>JAV</t>
  </si>
  <si>
    <t>JCH</t>
  </si>
  <si>
    <t>JEG</t>
  </si>
  <si>
    <t>PMI</t>
  </si>
  <si>
    <t>DRW</t>
  </si>
  <si>
    <t>URT</t>
  </si>
  <si>
    <t>NYU</t>
  </si>
  <si>
    <t>MPH</t>
  </si>
  <si>
    <t>NSB</t>
  </si>
  <si>
    <t>TKA</t>
  </si>
  <si>
    <t>GZM</t>
  </si>
  <si>
    <t>HVN</t>
  </si>
  <si>
    <t>AVL</t>
  </si>
  <si>
    <t>GSO</t>
  </si>
  <si>
    <t>FSD</t>
  </si>
  <si>
    <t>AYQ</t>
  </si>
  <si>
    <t>MHT</t>
  </si>
  <si>
    <t>APF</t>
  </si>
  <si>
    <t>RDN</t>
  </si>
  <si>
    <t>SDF</t>
  </si>
  <si>
    <t>CHO</t>
  </si>
  <si>
    <t>ROA</t>
  </si>
  <si>
    <t>LEX</t>
  </si>
  <si>
    <t>EVV</t>
  </si>
  <si>
    <t>ABQ</t>
  </si>
  <si>
    <t>BZN</t>
  </si>
  <si>
    <t>BIL</t>
  </si>
  <si>
    <t>BTM</t>
  </si>
  <si>
    <t>TVC</t>
  </si>
  <si>
    <t>FRS</t>
  </si>
  <si>
    <t>BHB</t>
  </si>
  <si>
    <t>RKD</t>
  </si>
  <si>
    <t>JAC</t>
  </si>
  <si>
    <t>RFD</t>
  </si>
  <si>
    <t>DME</t>
  </si>
  <si>
    <t>SYX</t>
  </si>
  <si>
    <t>MFN</t>
  </si>
  <si>
    <t>TSS</t>
  </si>
  <si>
    <t>LJG</t>
  </si>
  <si>
    <t>GSP</t>
  </si>
  <si>
    <t>QKL</t>
  </si>
  <si>
    <t>ZWS</t>
  </si>
  <si>
    <t>BMI</t>
  </si>
  <si>
    <t>GPT</t>
  </si>
  <si>
    <t>AZO</t>
  </si>
  <si>
    <t>TOL</t>
  </si>
  <si>
    <t>FWA</t>
  </si>
  <si>
    <t>DEC</t>
  </si>
  <si>
    <t>CID</t>
  </si>
  <si>
    <t>LSE</t>
  </si>
  <si>
    <t>CWA</t>
  </si>
  <si>
    <t>PIA</t>
  </si>
  <si>
    <t>ATW</t>
  </si>
  <si>
    <t>RST</t>
  </si>
  <si>
    <t>CMI</t>
  </si>
  <si>
    <t>MHK</t>
  </si>
  <si>
    <t>KGC</t>
  </si>
  <si>
    <t>HVB</t>
  </si>
  <si>
    <t>BSL</t>
  </si>
  <si>
    <t>DLU</t>
  </si>
  <si>
    <t>JHG</t>
  </si>
  <si>
    <t>MZV</t>
  </si>
  <si>
    <t>SSH</t>
  </si>
  <si>
    <t>FKL</t>
  </si>
  <si>
    <t>SEU</t>
  </si>
  <si>
    <t>FTE</t>
  </si>
  <si>
    <t>GJT</t>
  </si>
  <si>
    <t>SGU</t>
  </si>
  <si>
    <t>DWH</t>
  </si>
  <si>
    <t>S46</t>
  </si>
  <si>
    <t>SRQ</t>
  </si>
  <si>
    <t>VNY</t>
  </si>
  <si>
    <t>BDA</t>
  </si>
  <si>
    <t>X21</t>
  </si>
  <si>
    <t>PFN</t>
  </si>
  <si>
    <t>HIR</t>
  </si>
  <si>
    <t>SLB</t>
  </si>
  <si>
    <t>PPT</t>
  </si>
  <si>
    <t>INU</t>
  </si>
  <si>
    <t>NRU</t>
  </si>
  <si>
    <t>FUN</t>
  </si>
  <si>
    <t>OVB</t>
  </si>
  <si>
    <t>DWS</t>
  </si>
  <si>
    <t>XKH</t>
  </si>
  <si>
    <t>HUI</t>
  </si>
  <si>
    <t>BIS</t>
  </si>
  <si>
    <t>TEX</t>
  </si>
  <si>
    <t>INC</t>
  </si>
  <si>
    <t>HGN</t>
  </si>
  <si>
    <t>RAP</t>
  </si>
  <si>
    <t>CLD</t>
  </si>
  <si>
    <t>FNT</t>
  </si>
  <si>
    <t>DVO</t>
  </si>
  <si>
    <t>FNC</t>
  </si>
  <si>
    <t>STM</t>
  </si>
  <si>
    <t>KOS</t>
  </si>
  <si>
    <t>YOA</t>
  </si>
  <si>
    <t>NPE</t>
  </si>
  <si>
    <t>LEV</t>
  </si>
  <si>
    <t>LXA</t>
  </si>
  <si>
    <t>RDD</t>
  </si>
  <si>
    <t>EUG</t>
  </si>
  <si>
    <t>IDA</t>
  </si>
  <si>
    <t>MFR</t>
  </si>
  <si>
    <t>KBZ</t>
  </si>
  <si>
    <t>RDM</t>
  </si>
  <si>
    <t>PCN</t>
  </si>
  <si>
    <t>WDH</t>
  </si>
  <si>
    <t>NAM</t>
  </si>
  <si>
    <t>YWH</t>
  </si>
  <si>
    <t>CXH</t>
  </si>
  <si>
    <t>TNA</t>
  </si>
  <si>
    <t>CZX</t>
  </si>
  <si>
    <t>YBP</t>
  </si>
  <si>
    <t>TJM</t>
  </si>
  <si>
    <t>CAK</t>
  </si>
  <si>
    <t>HSV</t>
  </si>
  <si>
    <t>PKB</t>
  </si>
  <si>
    <t>MGM</t>
  </si>
  <si>
    <t>TRI</t>
  </si>
  <si>
    <t>PAH</t>
  </si>
  <si>
    <t>KUF</t>
  </si>
  <si>
    <t>JIB</t>
  </si>
  <si>
    <t>DJI</t>
  </si>
  <si>
    <t>HAK</t>
  </si>
  <si>
    <t>MFA</t>
  </si>
  <si>
    <t>FCA</t>
  </si>
  <si>
    <t>PGA</t>
  </si>
  <si>
    <t>UII</t>
  </si>
  <si>
    <t>SNV</t>
  </si>
  <si>
    <t>MBS</t>
  </si>
  <si>
    <t>BGW</t>
  </si>
  <si>
    <t>NNT</t>
  </si>
  <si>
    <t>ROI</t>
  </si>
  <si>
    <t>BFV</t>
  </si>
  <si>
    <t>UNN</t>
  </si>
  <si>
    <t>TDX</t>
  </si>
  <si>
    <t>BLH</t>
  </si>
  <si>
    <t>CRK</t>
  </si>
  <si>
    <t>SDK</t>
  </si>
  <si>
    <t>LXG</t>
  </si>
  <si>
    <t>ODY</t>
  </si>
  <si>
    <t>SHE</t>
  </si>
  <si>
    <t>DOY</t>
  </si>
  <si>
    <t>MNI</t>
  </si>
  <si>
    <t>MSR</t>
  </si>
  <si>
    <t>PSG</t>
  </si>
  <si>
    <t>LYA</t>
  </si>
  <si>
    <t>XUZ</t>
  </si>
  <si>
    <t>IFN</t>
  </si>
  <si>
    <t>MWQ</t>
  </si>
  <si>
    <t>DLI</t>
  </si>
  <si>
    <t>VDH</t>
  </si>
  <si>
    <t>VKG</t>
  </si>
  <si>
    <t>CAH</t>
  </si>
  <si>
    <t>VCL</t>
  </si>
  <si>
    <t>TBB</t>
  </si>
  <si>
    <t>PYY</t>
  </si>
  <si>
    <t>BWK</t>
  </si>
  <si>
    <t>NSI</t>
  </si>
  <si>
    <t>AAH</t>
  </si>
  <si>
    <t>FKB</t>
  </si>
  <si>
    <t>SFB</t>
  </si>
  <si>
    <t>PQC</t>
  </si>
  <si>
    <t>JST</t>
  </si>
  <si>
    <t>LUA</t>
  </si>
  <si>
    <t>BHP</t>
  </si>
  <si>
    <t>LDN</t>
  </si>
  <si>
    <t>JMO</t>
  </si>
  <si>
    <t>NGX</t>
  </si>
  <si>
    <t>PPL</t>
  </si>
  <si>
    <t>TMK</t>
  </si>
  <si>
    <t>RUM</t>
  </si>
  <si>
    <t>DNP</t>
  </si>
  <si>
    <t>RUK</t>
  </si>
  <si>
    <t>JUM</t>
  </si>
  <si>
    <t>HRJ</t>
  </si>
  <si>
    <t>TPJ</t>
  </si>
  <si>
    <t>TMI</t>
  </si>
  <si>
    <t>SKH</t>
  </si>
  <si>
    <t>IMK</t>
  </si>
  <si>
    <t>DOP</t>
  </si>
  <si>
    <t>BJH</t>
  </si>
  <si>
    <t>DHI</t>
  </si>
  <si>
    <t>MWX</t>
  </si>
  <si>
    <t>JTY</t>
  </si>
  <si>
    <t>JIK</t>
  </si>
  <si>
    <t>JKL</t>
  </si>
  <si>
    <t>MLO</t>
  </si>
  <si>
    <t>JNX</t>
  </si>
  <si>
    <t>PAS</t>
  </si>
  <si>
    <t>KZS</t>
  </si>
  <si>
    <t>RMF</t>
  </si>
  <si>
    <t>NRN</t>
  </si>
  <si>
    <t>USU</t>
  </si>
  <si>
    <t>BXU</t>
  </si>
  <si>
    <t>DPL</t>
  </si>
  <si>
    <t>LAO</t>
  </si>
  <si>
    <t>LGP</t>
  </si>
  <si>
    <t>OZC</t>
  </si>
  <si>
    <t>ZQW</t>
  </si>
  <si>
    <t>CEB</t>
  </si>
  <si>
    <t>NOE</t>
  </si>
  <si>
    <t>JUI</t>
  </si>
  <si>
    <t>BPS</t>
  </si>
  <si>
    <t>GDA</t>
  </si>
  <si>
    <t>PMW</t>
  </si>
  <si>
    <t>CLV</t>
  </si>
  <si>
    <t>MSO</t>
  </si>
  <si>
    <t>BKQ</t>
  </si>
  <si>
    <t>BDB</t>
  </si>
  <si>
    <t>GCN</t>
  </si>
  <si>
    <t>SGR</t>
  </si>
  <si>
    <t>HIS</t>
  </si>
  <si>
    <t>APA</t>
  </si>
  <si>
    <t>CVN</t>
  </si>
  <si>
    <t>FST</t>
  </si>
  <si>
    <t>LVS</t>
  </si>
  <si>
    <t>IWS</t>
  </si>
  <si>
    <t>LHX</t>
  </si>
  <si>
    <t>LRU</t>
  </si>
  <si>
    <t>BKD</t>
  </si>
  <si>
    <t>TPL</t>
  </si>
  <si>
    <t>OZA</t>
  </si>
  <si>
    <t>HEW</t>
  </si>
  <si>
    <t>WKL</t>
  </si>
  <si>
    <t>KDM</t>
  </si>
  <si>
    <t>LAK</t>
  </si>
  <si>
    <t>YWJ</t>
  </si>
  <si>
    <t>ZFN</t>
  </si>
  <si>
    <t>YGH</t>
  </si>
  <si>
    <t>TAH</t>
  </si>
  <si>
    <t>YPC</t>
  </si>
  <si>
    <t>SRZ</t>
  </si>
  <si>
    <t>KUS</t>
  </si>
  <si>
    <t>SAB</t>
  </si>
  <si>
    <t>EGE</t>
  </si>
  <si>
    <t>SKN</t>
  </si>
  <si>
    <t>CGF</t>
  </si>
  <si>
    <t>MFD</t>
  </si>
  <si>
    <t>CSG</t>
  </si>
  <si>
    <t>LAW</t>
  </si>
  <si>
    <t>FNL</t>
  </si>
  <si>
    <t>FLG</t>
  </si>
  <si>
    <t>TWF</t>
  </si>
  <si>
    <t>MCM</t>
  </si>
  <si>
    <t>MVY</t>
  </si>
  <si>
    <t>UUU</t>
  </si>
  <si>
    <t>VSF</t>
  </si>
  <si>
    <t>CON</t>
  </si>
  <si>
    <t>SFM</t>
  </si>
  <si>
    <t>GON</t>
  </si>
  <si>
    <t>STC</t>
  </si>
  <si>
    <t>BPE</t>
  </si>
  <si>
    <t>GTR</t>
  </si>
  <si>
    <t>GOJ</t>
  </si>
  <si>
    <t>HQM</t>
  </si>
  <si>
    <t>HYA</t>
  </si>
  <si>
    <t>SPR</t>
  </si>
  <si>
    <t>SDX</t>
  </si>
  <si>
    <t>MGW</t>
  </si>
  <si>
    <t>CRW</t>
  </si>
  <si>
    <t>AVP</t>
  </si>
  <si>
    <t>BJI</t>
  </si>
  <si>
    <t>BAK</t>
  </si>
  <si>
    <t>THG</t>
  </si>
  <si>
    <t>FGI</t>
  </si>
  <si>
    <t>BNK</t>
  </si>
  <si>
    <t>FAR</t>
  </si>
  <si>
    <t>MKC</t>
  </si>
  <si>
    <t>AZA</t>
  </si>
  <si>
    <t>RBE</t>
  </si>
  <si>
    <t>GCC</t>
  </si>
  <si>
    <t>TOF</t>
  </si>
  <si>
    <t>NZJ</t>
  </si>
  <si>
    <t>PHY</t>
  </si>
  <si>
    <t>CJM</t>
  </si>
  <si>
    <t>JZH</t>
  </si>
  <si>
    <t>SWA</t>
  </si>
  <si>
    <t>OGL</t>
  </si>
  <si>
    <t>KAI</t>
  </si>
  <si>
    <t>DNH</t>
  </si>
  <si>
    <t>AOI</t>
  </si>
  <si>
    <t>ECA</t>
  </si>
  <si>
    <t>CPO</t>
  </si>
  <si>
    <t>TCP</t>
  </si>
  <si>
    <t>LYB</t>
  </si>
  <si>
    <t>BJV</t>
  </si>
  <si>
    <t>TBJ</t>
  </si>
  <si>
    <t>SCE</t>
  </si>
  <si>
    <t>BME</t>
  </si>
  <si>
    <t>NTL</t>
  </si>
  <si>
    <t>KLU</t>
  </si>
  <si>
    <t>CGU</t>
  </si>
  <si>
    <t>HFT</t>
  </si>
  <si>
    <t>HVG</t>
  </si>
  <si>
    <t>MEH</t>
  </si>
  <si>
    <t>VDS</t>
  </si>
  <si>
    <t>IKA</t>
  </si>
  <si>
    <t>MHD</t>
  </si>
  <si>
    <t>QEF</t>
  </si>
  <si>
    <t>UIK</t>
  </si>
  <si>
    <t>MEI</t>
  </si>
  <si>
    <t>SPI</t>
  </si>
  <si>
    <t>HKV</t>
  </si>
  <si>
    <t>CEZ</t>
  </si>
  <si>
    <t>HDN</t>
  </si>
  <si>
    <t>GUP</t>
  </si>
  <si>
    <t>LBL</t>
  </si>
  <si>
    <t>LAA</t>
  </si>
  <si>
    <t>GLD</t>
  </si>
  <si>
    <t>COD</t>
  </si>
  <si>
    <t>HOV</t>
  </si>
  <si>
    <t>ISC</t>
  </si>
  <si>
    <t>SGF</t>
  </si>
  <si>
    <t>NVK</t>
  </si>
  <si>
    <t>BVG</t>
  </si>
  <si>
    <t>FBU</t>
  </si>
  <si>
    <t>NSK</t>
  </si>
  <si>
    <t>AAQ</t>
  </si>
  <si>
    <t>JLN</t>
  </si>
  <si>
    <t>ABE</t>
  </si>
  <si>
    <t>XNA</t>
  </si>
  <si>
    <t>GUW</t>
  </si>
  <si>
    <t>KZO</t>
  </si>
  <si>
    <t>SBN</t>
  </si>
  <si>
    <t>BKA</t>
  </si>
  <si>
    <t>ARH</t>
  </si>
  <si>
    <t>RTW</t>
  </si>
  <si>
    <t>NUX</t>
  </si>
  <si>
    <t>NOJ</t>
  </si>
  <si>
    <t>ZWU</t>
  </si>
  <si>
    <t>SCO</t>
  </si>
  <si>
    <t>UCT</t>
  </si>
  <si>
    <t>USK</t>
  </si>
  <si>
    <t>PEX</t>
  </si>
  <si>
    <t>NNM</t>
  </si>
  <si>
    <t>PKV</t>
  </si>
  <si>
    <t>KGP</t>
  </si>
  <si>
    <t>KJA</t>
  </si>
  <si>
    <t>KGF</t>
  </si>
  <si>
    <t>URJ</t>
  </si>
  <si>
    <t>CRZ</t>
  </si>
  <si>
    <t>IWA</t>
  </si>
  <si>
    <t>CGQ</t>
  </si>
  <si>
    <t>KIJ</t>
  </si>
  <si>
    <t>JON</t>
  </si>
  <si>
    <t>SMD</t>
  </si>
  <si>
    <t>ACV</t>
  </si>
  <si>
    <t>ATT</t>
  </si>
  <si>
    <t>OAJ</t>
  </si>
  <si>
    <t>TCL</t>
  </si>
  <si>
    <t>DBQ</t>
  </si>
  <si>
    <t>FDE</t>
  </si>
  <si>
    <t>PYJ</t>
  </si>
  <si>
    <t>NAJ</t>
  </si>
  <si>
    <t>KVD</t>
  </si>
  <si>
    <t>UKK</t>
  </si>
  <si>
    <t>PPK</t>
  </si>
  <si>
    <t>GBJ</t>
  </si>
  <si>
    <t>SFC</t>
  </si>
  <si>
    <t>BBQ</t>
  </si>
  <si>
    <t>JPR</t>
  </si>
  <si>
    <t>MYC</t>
  </si>
  <si>
    <t>NZA</t>
  </si>
  <si>
    <t>CJA</t>
  </si>
  <si>
    <t>GTA</t>
  </si>
  <si>
    <t>BXX</t>
  </si>
  <si>
    <t>MVS</t>
  </si>
  <si>
    <t>REY</t>
  </si>
  <si>
    <t>PUR</t>
  </si>
  <si>
    <t>EYP</t>
  </si>
  <si>
    <t>ESM</t>
  </si>
  <si>
    <t>ZPC</t>
  </si>
  <si>
    <t>TOW</t>
  </si>
  <si>
    <t>RIA</t>
  </si>
  <si>
    <t>LEC</t>
  </si>
  <si>
    <t>GUL</t>
  </si>
  <si>
    <t>JDO</t>
  </si>
  <si>
    <t>SST</t>
  </si>
  <si>
    <t>GGS</t>
  </si>
  <si>
    <t>OES</t>
  </si>
  <si>
    <t>LHS</t>
  </si>
  <si>
    <t>TTG</t>
  </si>
  <si>
    <t>MBT</t>
  </si>
  <si>
    <t>CRM</t>
  </si>
  <si>
    <t>JOL</t>
  </si>
  <si>
    <t>CGM</t>
  </si>
  <si>
    <t>CYU</t>
  </si>
  <si>
    <t>CJJ</t>
  </si>
  <si>
    <t>HIN</t>
  </si>
  <si>
    <t>WJU</t>
  </si>
  <si>
    <t>MPK</t>
  </si>
  <si>
    <t>KUV</t>
  </si>
  <si>
    <t>MYE</t>
  </si>
  <si>
    <t>SYO</t>
  </si>
  <si>
    <t>ONJ</t>
  </si>
  <si>
    <t>FKS</t>
  </si>
  <si>
    <t>IWJ</t>
  </si>
  <si>
    <t>NKM</t>
  </si>
  <si>
    <t>HSG</t>
  </si>
  <si>
    <t>OKD</t>
  </si>
  <si>
    <t>KUH</t>
  </si>
  <si>
    <t>MFK</t>
  </si>
  <si>
    <t>HCN</t>
  </si>
  <si>
    <t>LZN</t>
  </si>
  <si>
    <t>ENT</t>
  </si>
  <si>
    <t>LUP</t>
  </si>
  <si>
    <t>ENI</t>
  </si>
  <si>
    <t>WPM</t>
  </si>
  <si>
    <t>VMU</t>
  </si>
  <si>
    <t>UKU</t>
  </si>
  <si>
    <t>TFI</t>
  </si>
  <si>
    <t>SKC</t>
  </si>
  <si>
    <t>OPU</t>
  </si>
  <si>
    <t>OBX</t>
  </si>
  <si>
    <t>LSA</t>
  </si>
  <si>
    <t>LNV</t>
  </si>
  <si>
    <t>LMY</t>
  </si>
  <si>
    <t>KUY</t>
  </si>
  <si>
    <t>KKD</t>
  </si>
  <si>
    <t>KDR</t>
  </si>
  <si>
    <t>JAQ</t>
  </si>
  <si>
    <t>IIS</t>
  </si>
  <si>
    <t>IHU</t>
  </si>
  <si>
    <t>GMI</t>
  </si>
  <si>
    <t>ATP</t>
  </si>
  <si>
    <t>WRG</t>
  </si>
  <si>
    <t>VAK</t>
  </si>
  <si>
    <t>ANI</t>
  </si>
  <si>
    <t>MOU</t>
  </si>
  <si>
    <t>MCG</t>
  </si>
  <si>
    <t>KLG</t>
  </si>
  <si>
    <t>HNS</t>
  </si>
  <si>
    <t>HCR</t>
  </si>
  <si>
    <t>SGY</t>
  </si>
  <si>
    <t>GST</t>
  </si>
  <si>
    <t>ADK</t>
  </si>
  <si>
    <t>SAX</t>
  </si>
  <si>
    <t>OTD</t>
  </si>
  <si>
    <t>ELE</t>
  </si>
  <si>
    <t>BFQ</t>
  </si>
  <si>
    <t>GXF</t>
  </si>
  <si>
    <t>KAC</t>
  </si>
  <si>
    <t>ISU</t>
  </si>
  <si>
    <t>TUK</t>
  </si>
  <si>
    <t>SYW</t>
  </si>
  <si>
    <t>KDU</t>
  </si>
  <si>
    <t>PAJ</t>
  </si>
  <si>
    <t>ORW</t>
  </si>
  <si>
    <t>KDD</t>
  </si>
  <si>
    <t>HDD</t>
  </si>
  <si>
    <t>JIW</t>
  </si>
  <si>
    <t>DSK</t>
  </si>
  <si>
    <t>DEA</t>
  </si>
  <si>
    <t>DBA</t>
  </si>
  <si>
    <t>CJL</t>
  </si>
  <si>
    <t>BHV</t>
  </si>
  <si>
    <t>BNP</t>
  </si>
  <si>
    <t>AAN</t>
  </si>
  <si>
    <t>OMH</t>
  </si>
  <si>
    <t>ADU</t>
  </si>
  <si>
    <t>LRR</t>
  </si>
  <si>
    <t>SRY</t>
  </si>
  <si>
    <t>NSH</t>
  </si>
  <si>
    <t>AFZ</t>
  </si>
  <si>
    <t>BJB</t>
  </si>
  <si>
    <t>RJN</t>
  </si>
  <si>
    <t>BXR</t>
  </si>
  <si>
    <t>KHD</t>
  </si>
  <si>
    <t>EWD</t>
  </si>
  <si>
    <t>AJF</t>
  </si>
  <si>
    <t>DWD</t>
  </si>
  <si>
    <t>XAU</t>
  </si>
  <si>
    <t>FBD</t>
  </si>
  <si>
    <t>ILP</t>
  </si>
  <si>
    <t>BMY</t>
  </si>
  <si>
    <t>TGJ</t>
  </si>
  <si>
    <t>IPA</t>
  </si>
  <si>
    <t>FTA</t>
  </si>
  <si>
    <t>DLY</t>
  </si>
  <si>
    <t>AWD</t>
  </si>
  <si>
    <t>AUY</t>
  </si>
  <si>
    <t>OLZ</t>
  </si>
  <si>
    <t>SWJ</t>
  </si>
  <si>
    <t>VLS</t>
  </si>
  <si>
    <t>ULB</t>
  </si>
  <si>
    <t>TGH</t>
  </si>
  <si>
    <t>SON</t>
  </si>
  <si>
    <t>RCL</t>
  </si>
  <si>
    <t>ZGU</t>
  </si>
  <si>
    <t>NUS</t>
  </si>
  <si>
    <t>LNE</t>
  </si>
  <si>
    <t>MWF</t>
  </si>
  <si>
    <t>LNB</t>
  </si>
  <si>
    <t>LPM</t>
  </si>
  <si>
    <t>PBJ</t>
  </si>
  <si>
    <t>SSR</t>
  </si>
  <si>
    <t>LOD</t>
  </si>
  <si>
    <t>CCV</t>
  </si>
  <si>
    <t>EAE</t>
  </si>
  <si>
    <t>TOH</t>
  </si>
  <si>
    <t>SLH</t>
  </si>
  <si>
    <t>MTV</t>
  </si>
  <si>
    <t>UAH</t>
  </si>
  <si>
    <t>UAP</t>
  </si>
  <si>
    <t>AUQ</t>
  </si>
  <si>
    <t>AHE</t>
  </si>
  <si>
    <t>APK</t>
  </si>
  <si>
    <t>MXS</t>
  </si>
  <si>
    <t>MWP</t>
  </si>
  <si>
    <t>FUT</t>
  </si>
  <si>
    <t>IUE</t>
  </si>
  <si>
    <t>NIU</t>
  </si>
  <si>
    <t>VBV</t>
  </si>
  <si>
    <t>NTT</t>
  </si>
  <si>
    <t>NFO</t>
  </si>
  <si>
    <t>HPA</t>
  </si>
  <si>
    <t>EUA</t>
  </si>
  <si>
    <t>SVU</t>
  </si>
  <si>
    <t>RTA</t>
  </si>
  <si>
    <t>KXF</t>
  </si>
  <si>
    <t>TVU</t>
  </si>
  <si>
    <t>LBS</t>
  </si>
  <si>
    <t>LKB</t>
  </si>
  <si>
    <t>NGI</t>
  </si>
  <si>
    <t>MFJ</t>
  </si>
  <si>
    <t>MNF</t>
  </si>
  <si>
    <t>KDV</t>
  </si>
  <si>
    <t>PTF</t>
  </si>
  <si>
    <t>ICI</t>
  </si>
  <si>
    <t>PYE</t>
  </si>
  <si>
    <t>MOI</t>
  </si>
  <si>
    <t>MUK</t>
  </si>
  <si>
    <t>MHX</t>
  </si>
  <si>
    <t>MGS</t>
  </si>
  <si>
    <t>AIU</t>
  </si>
  <si>
    <t>PID</t>
  </si>
  <si>
    <t>CAT</t>
  </si>
  <si>
    <t>ATC</t>
  </si>
  <si>
    <t>COX</t>
  </si>
  <si>
    <t>LBP</t>
  </si>
  <si>
    <t>SCX</t>
  </si>
  <si>
    <t>TND</t>
  </si>
  <si>
    <t>CCC</t>
  </si>
  <si>
    <t>PAX</t>
  </si>
  <si>
    <t>JEE</t>
  </si>
  <si>
    <t>PLD</t>
  </si>
  <si>
    <t>SYQ</t>
  </si>
  <si>
    <t>PJM</t>
  </si>
  <si>
    <t>PBP</t>
  </si>
  <si>
    <t>TNO</t>
  </si>
  <si>
    <t>BCL</t>
  </si>
  <si>
    <t>TTQ</t>
  </si>
  <si>
    <t>PLP</t>
  </si>
  <si>
    <t>JQE</t>
  </si>
  <si>
    <t>ONX</t>
  </si>
  <si>
    <t>CTD</t>
  </si>
  <si>
    <t>JAL</t>
  </si>
  <si>
    <t>GUB</t>
  </si>
  <si>
    <t>CUA</t>
  </si>
  <si>
    <t>CYW</t>
  </si>
  <si>
    <t>MIJ</t>
  </si>
  <si>
    <t>PEU</t>
  </si>
  <si>
    <t>AHS</t>
  </si>
  <si>
    <t>WTO</t>
  </si>
  <si>
    <t>WTE</t>
  </si>
  <si>
    <t>WJA</t>
  </si>
  <si>
    <t>UIT</t>
  </si>
  <si>
    <t>RNP</t>
  </si>
  <si>
    <t>NDK</t>
  </si>
  <si>
    <t>MJE</t>
  </si>
  <si>
    <t>MJB</t>
  </si>
  <si>
    <t>MAV</t>
  </si>
  <si>
    <t>LIK</t>
  </si>
  <si>
    <t>KBT</t>
  </si>
  <si>
    <t>JEJ</t>
  </si>
  <si>
    <t>JAT</t>
  </si>
  <si>
    <t>BII</t>
  </si>
  <si>
    <t>AUL</t>
  </si>
  <si>
    <t>AIM</t>
  </si>
  <si>
    <t>UTK</t>
  </si>
  <si>
    <t>AAZ</t>
  </si>
  <si>
    <t>PBR</t>
  </si>
  <si>
    <t>JBQ</t>
  </si>
  <si>
    <t>AZS</t>
  </si>
  <si>
    <t>SLX</t>
  </si>
  <si>
    <t>MDS</t>
  </si>
  <si>
    <t>GDT</t>
  </si>
  <si>
    <t>ILZ</t>
  </si>
  <si>
    <t>QUB</t>
  </si>
  <si>
    <t>MRA</t>
  </si>
  <si>
    <t>SZF</t>
  </si>
  <si>
    <t>EDO</t>
  </si>
  <si>
    <t>ISE</t>
  </si>
  <si>
    <t>ADF</t>
  </si>
  <si>
    <t>AJI</t>
  </si>
  <si>
    <t>KCM</t>
  </si>
  <si>
    <t>SFQ</t>
  </si>
  <si>
    <t>KSY</t>
  </si>
  <si>
    <t>USQ</t>
  </si>
  <si>
    <t>BNX</t>
  </si>
  <si>
    <t>CVU</t>
  </si>
  <si>
    <t>QSR</t>
  </si>
  <si>
    <t>AOT</t>
  </si>
  <si>
    <t>SOB</t>
  </si>
  <si>
    <t>QGY</t>
  </si>
  <si>
    <t>PEV</t>
  </si>
  <si>
    <t>JSY</t>
  </si>
  <si>
    <t>LTT</t>
  </si>
  <si>
    <t>EAP</t>
  </si>
  <si>
    <t>ANE</t>
  </si>
  <si>
    <t>IDY</t>
  </si>
  <si>
    <t>RJL</t>
  </si>
  <si>
    <t>ECN</t>
  </si>
  <si>
    <t>YKM</t>
  </si>
  <si>
    <t>KWY</t>
  </si>
  <si>
    <t>WRL</t>
  </si>
  <si>
    <t>VLD</t>
  </si>
  <si>
    <t>VCT</t>
  </si>
  <si>
    <t>UIN</t>
  </si>
  <si>
    <t>TUP</t>
  </si>
  <si>
    <t>SMX</t>
  </si>
  <si>
    <t>SLN</t>
  </si>
  <si>
    <t>SLK</t>
  </si>
  <si>
    <t>SHR</t>
  </si>
  <si>
    <t>SBP</t>
  </si>
  <si>
    <t>RUT</t>
  </si>
  <si>
    <t>RKS</t>
  </si>
  <si>
    <t>RHI</t>
  </si>
  <si>
    <t>RDG</t>
  </si>
  <si>
    <t>PSM</t>
  </si>
  <si>
    <t>PLN</t>
  </si>
  <si>
    <t>PIR</t>
  </si>
  <si>
    <t>PIH</t>
  </si>
  <si>
    <t>PIB</t>
  </si>
  <si>
    <t>OWB</t>
  </si>
  <si>
    <t>OTH</t>
  </si>
  <si>
    <t>MSL</t>
  </si>
  <si>
    <t>MLS</t>
  </si>
  <si>
    <t>MKG</t>
  </si>
  <si>
    <t>LYH</t>
  </si>
  <si>
    <t>LWT</t>
  </si>
  <si>
    <t>LNS</t>
  </si>
  <si>
    <t>LMT</t>
  </si>
  <si>
    <t>LEB</t>
  </si>
  <si>
    <t>LBF</t>
  </si>
  <si>
    <t>LBE</t>
  </si>
  <si>
    <t>LAR</t>
  </si>
  <si>
    <t>JMS</t>
  </si>
  <si>
    <t>IRK</t>
  </si>
  <si>
    <t>KIO</t>
  </si>
  <si>
    <t>HTS</t>
  </si>
  <si>
    <t>HOT</t>
  </si>
  <si>
    <t>GRI</t>
  </si>
  <si>
    <t>GGW</t>
  </si>
  <si>
    <t>FAY</t>
  </si>
  <si>
    <t>EWB</t>
  </si>
  <si>
    <t>EKO</t>
  </si>
  <si>
    <t>EAU</t>
  </si>
  <si>
    <t>DUJ</t>
  </si>
  <si>
    <t>DDC</t>
  </si>
  <si>
    <t>CMX</t>
  </si>
  <si>
    <t>CLM</t>
  </si>
  <si>
    <t>CKB</t>
  </si>
  <si>
    <t>CIU</t>
  </si>
  <si>
    <t>CGI</t>
  </si>
  <si>
    <t>CEC</t>
  </si>
  <si>
    <t>BRL</t>
  </si>
  <si>
    <t>BQK</t>
  </si>
  <si>
    <t>BKW</t>
  </si>
  <si>
    <t>BFF</t>
  </si>
  <si>
    <t>BFD</t>
  </si>
  <si>
    <t>ATY</t>
  </si>
  <si>
    <t>APN</t>
  </si>
  <si>
    <t>ALW</t>
  </si>
  <si>
    <t>ALO</t>
  </si>
  <si>
    <t>ALM</t>
  </si>
  <si>
    <t>AHN</t>
  </si>
  <si>
    <t>ABY</t>
  </si>
  <si>
    <t>ABR</t>
  </si>
  <si>
    <t>TQR</t>
  </si>
  <si>
    <t>GSM</t>
  </si>
  <si>
    <t>DIU</t>
  </si>
  <si>
    <t>ULU</t>
  </si>
  <si>
    <t>RUA</t>
  </si>
  <si>
    <t>TBO</t>
  </si>
  <si>
    <t>SHY</t>
  </si>
  <si>
    <t>MUZ</t>
  </si>
  <si>
    <t>LDI</t>
  </si>
  <si>
    <t>TKQ</t>
  </si>
  <si>
    <t>BKZ</t>
  </si>
  <si>
    <t>PZU</t>
  </si>
  <si>
    <t>UYL</t>
  </si>
  <si>
    <t>ATB</t>
  </si>
  <si>
    <t>LAQ</t>
  </si>
  <si>
    <t>MJI</t>
  </si>
  <si>
    <t>TOB</t>
  </si>
  <si>
    <t>SRX</t>
  </si>
  <si>
    <t>NYK</t>
  </si>
  <si>
    <t>MYD</t>
  </si>
  <si>
    <t>LKG</t>
  </si>
  <si>
    <t>ASV</t>
  </si>
  <si>
    <t>ATZ</t>
  </si>
  <si>
    <t>AAC</t>
  </si>
  <si>
    <t>BUO</t>
  </si>
  <si>
    <t>GLK</t>
  </si>
  <si>
    <t>MGQ</t>
  </si>
  <si>
    <t>BSA</t>
  </si>
  <si>
    <t>ALU</t>
  </si>
  <si>
    <t>TIE</t>
  </si>
  <si>
    <t>MTF</t>
  </si>
  <si>
    <t>ABK</t>
  </si>
  <si>
    <t>GOR</t>
  </si>
  <si>
    <t>GDE</t>
  </si>
  <si>
    <t>DEM</t>
  </si>
  <si>
    <t>DSE</t>
  </si>
  <si>
    <t>BEI</t>
  </si>
  <si>
    <t>BCO</t>
  </si>
  <si>
    <t>SFL</t>
  </si>
  <si>
    <t>RAI</t>
  </si>
  <si>
    <t>NDR</t>
  </si>
  <si>
    <t>EUN</t>
  </si>
  <si>
    <t>ESU</t>
  </si>
  <si>
    <t>VIL</t>
  </si>
  <si>
    <t>SMW</t>
  </si>
  <si>
    <t>QFI</t>
  </si>
  <si>
    <t>QCU</t>
  </si>
  <si>
    <t>JGR</t>
  </si>
  <si>
    <t>OXB</t>
  </si>
  <si>
    <t>KBS</t>
  </si>
  <si>
    <t>BTE</t>
  </si>
  <si>
    <t>JCU</t>
  </si>
  <si>
    <t>CRU</t>
  </si>
  <si>
    <t>GMZ</t>
  </si>
  <si>
    <t>PSV</t>
  </si>
  <si>
    <t>OUK</t>
  </si>
  <si>
    <t>FOA</t>
  </si>
  <si>
    <t>GAX</t>
  </si>
  <si>
    <t>PFR</t>
  </si>
  <si>
    <t>LJA</t>
  </si>
  <si>
    <t>TSH</t>
  </si>
  <si>
    <t>BSU</t>
  </si>
  <si>
    <t>KRZ</t>
  </si>
  <si>
    <t>NIO</t>
  </si>
  <si>
    <t>INO</t>
  </si>
  <si>
    <t>MAT</t>
  </si>
  <si>
    <t>BOA</t>
  </si>
  <si>
    <t>ERS</t>
  </si>
  <si>
    <t>SWP</t>
  </si>
  <si>
    <t>OMD</t>
  </si>
  <si>
    <t>OND</t>
  </si>
  <si>
    <t>LUD</t>
  </si>
  <si>
    <t>CMK</t>
  </si>
  <si>
    <t>SRH</t>
  </si>
  <si>
    <t>JCA</t>
  </si>
  <si>
    <t>VPY</t>
  </si>
  <si>
    <t>TCH</t>
  </si>
  <si>
    <t>MJL</t>
  </si>
  <si>
    <t>KOU</t>
  </si>
  <si>
    <t>MSZ</t>
  </si>
  <si>
    <t>VPE</t>
  </si>
  <si>
    <t>DUE</t>
  </si>
  <si>
    <t>CBT</t>
  </si>
  <si>
    <t>MJA</t>
  </si>
  <si>
    <t>WMA</t>
  </si>
  <si>
    <t>TTS</t>
  </si>
  <si>
    <t>WMP</t>
  </si>
  <si>
    <t>DWB</t>
  </si>
  <si>
    <t>IVA</t>
  </si>
  <si>
    <t>WPB</t>
  </si>
  <si>
    <t>WAM</t>
  </si>
  <si>
    <t>WTS</t>
  </si>
  <si>
    <t>WTA</t>
  </si>
  <si>
    <t>TVA</t>
  </si>
  <si>
    <t>MXT</t>
  </si>
  <si>
    <t>BMD</t>
  </si>
  <si>
    <t>JVA</t>
  </si>
  <si>
    <t>WAQ</t>
  </si>
  <si>
    <t>YVA</t>
  </si>
  <si>
    <t>SLI</t>
  </si>
  <si>
    <t>CIP</t>
  </si>
  <si>
    <t>DIS</t>
  </si>
  <si>
    <t>TLD</t>
  </si>
  <si>
    <t>SWX</t>
  </si>
  <si>
    <t>ORP</t>
  </si>
  <si>
    <t>GNZ</t>
  </si>
  <si>
    <t>MBD</t>
  </si>
  <si>
    <t>AAM</t>
  </si>
  <si>
    <t>MQP</t>
  </si>
  <si>
    <t>QRA</t>
  </si>
  <si>
    <t>VTS</t>
  </si>
  <si>
    <t>SHC</t>
  </si>
  <si>
    <t>HIL</t>
  </si>
  <si>
    <t>HMV</t>
  </si>
  <si>
    <t>SQO</t>
  </si>
  <si>
    <t>AGH</t>
  </si>
  <si>
    <t>TYF</t>
  </si>
  <si>
    <t>KSD</t>
  </si>
  <si>
    <t>HFS</t>
  </si>
  <si>
    <t>OSD</t>
  </si>
  <si>
    <t>LCJ</t>
  </si>
  <si>
    <t>BZG</t>
  </si>
  <si>
    <t>VRY</t>
  </si>
  <si>
    <t>VAW</t>
  </si>
  <si>
    <t>SOJ</t>
  </si>
  <si>
    <t>SVJ</t>
  </si>
  <si>
    <t>SOG</t>
  </si>
  <si>
    <t>RET</t>
  </si>
  <si>
    <t>RVK</t>
  </si>
  <si>
    <t>MQN</t>
  </si>
  <si>
    <t>OSY</t>
  </si>
  <si>
    <t>LKN</t>
  </si>
  <si>
    <t>CNL</t>
  </si>
  <si>
    <t>CFN</t>
  </si>
  <si>
    <t>BRR</t>
  </si>
  <si>
    <t>HLY</t>
  </si>
  <si>
    <t>PZE</t>
  </si>
  <si>
    <t>LEQ</t>
  </si>
  <si>
    <t>WRY</t>
  </si>
  <si>
    <t>LWK</t>
  </si>
  <si>
    <t>NDY</t>
  </si>
  <si>
    <t>SOY</t>
  </si>
  <si>
    <t>PPW</t>
  </si>
  <si>
    <t>NRL</t>
  </si>
  <si>
    <t>FIE</t>
  </si>
  <si>
    <t>EOI</t>
  </si>
  <si>
    <t>CAL</t>
  </si>
  <si>
    <t>DSA</t>
  </si>
  <si>
    <t>NQT</t>
  </si>
  <si>
    <t>SJY</t>
  </si>
  <si>
    <t>HGL</t>
  </si>
  <si>
    <t>HEI</t>
  </si>
  <si>
    <t>HDF</t>
  </si>
  <si>
    <t>KMS</t>
  </si>
  <si>
    <t>ELU</t>
  </si>
  <si>
    <t>BMW</t>
  </si>
  <si>
    <t>CBH</t>
  </si>
  <si>
    <t>BLJ</t>
  </si>
  <si>
    <t>ZWL</t>
  </si>
  <si>
    <t>ZUM</t>
  </si>
  <si>
    <t>ZTM</t>
  </si>
  <si>
    <t>ZSJ</t>
  </si>
  <si>
    <t>ZRJ</t>
  </si>
  <si>
    <t>ZPB</t>
  </si>
  <si>
    <t>ZMT</t>
  </si>
  <si>
    <t>MSA</t>
  </si>
  <si>
    <t>ZKE</t>
  </si>
  <si>
    <t>ZJN</t>
  </si>
  <si>
    <t>ZGI</t>
  </si>
  <si>
    <t>ZFD</t>
  </si>
  <si>
    <t>ZEM</t>
  </si>
  <si>
    <t>ZBF</t>
  </si>
  <si>
    <t>ILF</t>
  </si>
  <si>
    <t>ZAC</t>
  </si>
  <si>
    <t>YZG</t>
  </si>
  <si>
    <t>YXN</t>
  </si>
  <si>
    <t>YWP</t>
  </si>
  <si>
    <t>YVZ</t>
  </si>
  <si>
    <t>YTL</t>
  </si>
  <si>
    <t>YST</t>
  </si>
  <si>
    <t>YSK</t>
  </si>
  <si>
    <t>YSF</t>
  </si>
  <si>
    <t>YRL</t>
  </si>
  <si>
    <t>YRA</t>
  </si>
  <si>
    <t>YQN</t>
  </si>
  <si>
    <t>YQD</t>
  </si>
  <si>
    <t>YPW</t>
  </si>
  <si>
    <t>YPO</t>
  </si>
  <si>
    <t>YPM</t>
  </si>
  <si>
    <t>YPH</t>
  </si>
  <si>
    <t>YOH</t>
  </si>
  <si>
    <t>YNL</t>
  </si>
  <si>
    <t>YNE</t>
  </si>
  <si>
    <t>YNC</t>
  </si>
  <si>
    <t>YUD</t>
  </si>
  <si>
    <t>YMT</t>
  </si>
  <si>
    <t>YMH</t>
  </si>
  <si>
    <t>XGR</t>
  </si>
  <si>
    <t>YSG</t>
  </si>
  <si>
    <t>YLH</t>
  </si>
  <si>
    <t>YLC</t>
  </si>
  <si>
    <t>YPJ</t>
  </si>
  <si>
    <t>YKQ</t>
  </si>
  <si>
    <t>AKV</t>
  </si>
  <si>
    <t>YIV</t>
  </si>
  <si>
    <t>YIK</t>
  </si>
  <si>
    <t>YHR</t>
  </si>
  <si>
    <t>YHO</t>
  </si>
  <si>
    <t>YNS</t>
  </si>
  <si>
    <t>YHC</t>
  </si>
  <si>
    <t>YQC</t>
  </si>
  <si>
    <t>YGZ</t>
  </si>
  <si>
    <t>YGX</t>
  </si>
  <si>
    <t>YGW</t>
  </si>
  <si>
    <t>YGT</t>
  </si>
  <si>
    <t>YGO</t>
  </si>
  <si>
    <t>YGB</t>
  </si>
  <si>
    <t>YMN</t>
  </si>
  <si>
    <t>YFH</t>
  </si>
  <si>
    <t>YFA</t>
  </si>
  <si>
    <t>YER</t>
  </si>
  <si>
    <t>YDP</t>
  </si>
  <si>
    <t>YCS</t>
  </si>
  <si>
    <t>YRF</t>
  </si>
  <si>
    <t>YBX</t>
  </si>
  <si>
    <t>YBE</t>
  </si>
  <si>
    <t>YAT</t>
  </si>
  <si>
    <t>YKG</t>
  </si>
  <si>
    <t>XKS</t>
  </si>
  <si>
    <t>YAG</t>
  </si>
  <si>
    <t>YAC</t>
  </si>
  <si>
    <t>APO</t>
  </si>
  <si>
    <t>NTG</t>
  </si>
  <si>
    <t>ZLT</t>
  </si>
  <si>
    <t>ZTB</t>
  </si>
  <si>
    <t>YKU</t>
  </si>
  <si>
    <t>YHP</t>
  </si>
  <si>
    <t>YOG</t>
  </si>
  <si>
    <t>KIF</t>
  </si>
  <si>
    <t>XBE</t>
  </si>
  <si>
    <t>YNO</t>
  </si>
  <si>
    <t>WNN</t>
  </si>
  <si>
    <t>YAX</t>
  </si>
  <si>
    <t>YLE</t>
  </si>
  <si>
    <t>YCK</t>
  </si>
  <si>
    <t>YRG</t>
  </si>
  <si>
    <t>YHA</t>
  </si>
  <si>
    <t>YFX</t>
  </si>
  <si>
    <t>YWM</t>
  </si>
  <si>
    <t>YAA</t>
  </si>
  <si>
    <t>YWS</t>
  </si>
  <si>
    <t>PND</t>
  </si>
  <si>
    <t>CUK</t>
  </si>
  <si>
    <t>VPN</t>
  </si>
  <si>
    <t>THO</t>
  </si>
  <si>
    <t>DRK</t>
  </si>
  <si>
    <t>GRY</t>
  </si>
  <si>
    <t>JQA</t>
  </si>
  <si>
    <t>JUV</t>
  </si>
  <si>
    <t>JHS</t>
  </si>
  <si>
    <t>NAQ</t>
  </si>
  <si>
    <t>JNS</t>
  </si>
  <si>
    <t>JNN</t>
  </si>
  <si>
    <t>JSU</t>
  </si>
  <si>
    <t>JJU</t>
  </si>
  <si>
    <t>JGO</t>
  </si>
  <si>
    <t>JFR</t>
  </si>
  <si>
    <t>CNP</t>
  </si>
  <si>
    <t>LLU</t>
  </si>
  <si>
    <t>WBM</t>
  </si>
  <si>
    <t>VAI</t>
  </si>
  <si>
    <t>RAB</t>
  </si>
  <si>
    <t>TBG</t>
  </si>
  <si>
    <t>TIZ</t>
  </si>
  <si>
    <t>MIS</t>
  </si>
  <si>
    <t>MXH</t>
  </si>
  <si>
    <t>MAS</t>
  </si>
  <si>
    <t>MDU</t>
  </si>
  <si>
    <t>KVG</t>
  </si>
  <si>
    <t>KMA</t>
  </si>
  <si>
    <t>KRI</t>
  </si>
  <si>
    <t>UNG</t>
  </si>
  <si>
    <t>HKN</t>
  </si>
  <si>
    <t>PNP</t>
  </si>
  <si>
    <t>GUR</t>
  </si>
  <si>
    <t>DAU</t>
  </si>
  <si>
    <t>CMU</t>
  </si>
  <si>
    <t>BUA</t>
  </si>
  <si>
    <t>RBV</t>
  </si>
  <si>
    <t>KGE</t>
  </si>
  <si>
    <t>VAO</t>
  </si>
  <si>
    <t>RNL</t>
  </si>
  <si>
    <t>MNY</t>
  </si>
  <si>
    <t>GZO</t>
  </si>
  <si>
    <t>MUA</t>
  </si>
  <si>
    <t>SCZ</t>
  </si>
  <si>
    <t>IRA</t>
  </si>
  <si>
    <t>MBU</t>
  </si>
  <si>
    <t>FRE</t>
  </si>
  <si>
    <t>BAS</t>
  </si>
  <si>
    <t>AKS</t>
  </si>
  <si>
    <t>ATD</t>
  </si>
  <si>
    <t>KXK</t>
  </si>
  <si>
    <t>OYG</t>
  </si>
  <si>
    <t>IKS</t>
  </si>
  <si>
    <t>CYX</t>
  </si>
  <si>
    <t>CKH</t>
  </si>
  <si>
    <t>CNN</t>
  </si>
  <si>
    <t>KSN</t>
  </si>
  <si>
    <t>DZN</t>
  </si>
  <si>
    <t>KOV</t>
  </si>
  <si>
    <t>UNI</t>
  </si>
  <si>
    <t>BQU</t>
  </si>
  <si>
    <t>VIJ</t>
  </si>
  <si>
    <t>NEV</t>
  </si>
  <si>
    <t>BBR</t>
  </si>
  <si>
    <t>DSD</t>
  </si>
  <si>
    <t>VIG</t>
  </si>
  <si>
    <t>MDO</t>
  </si>
  <si>
    <t>SRA</t>
  </si>
  <si>
    <t>HUU</t>
  </si>
  <si>
    <t>LHC</t>
  </si>
  <si>
    <t>SRJ</t>
  </si>
  <si>
    <t>RIB</t>
  </si>
  <si>
    <t>GYA</t>
  </si>
  <si>
    <t>PDA</t>
  </si>
  <si>
    <t>NQU</t>
  </si>
  <si>
    <t>LPD</t>
  </si>
  <si>
    <t>LQM</t>
  </si>
  <si>
    <t>GLJ</t>
  </si>
  <si>
    <t>CRC</t>
  </si>
  <si>
    <t>PSY</t>
  </si>
  <si>
    <t>LOH</t>
  </si>
  <si>
    <t>SCY</t>
  </si>
  <si>
    <t>SOD</t>
  </si>
  <si>
    <t>ESR</t>
  </si>
  <si>
    <t>VDC</t>
  </si>
  <si>
    <t>MII</t>
  </si>
  <si>
    <t>MEA</t>
  </si>
  <si>
    <t>NEC</t>
  </si>
  <si>
    <t>ING</t>
  </si>
  <si>
    <t>RXS</t>
  </si>
  <si>
    <t>VRC</t>
  </si>
  <si>
    <t>TUG</t>
  </si>
  <si>
    <t>SFE</t>
  </si>
  <si>
    <t>BSO</t>
  </si>
  <si>
    <t>WNP</t>
  </si>
  <si>
    <t>TDG</t>
  </si>
  <si>
    <t>SUG</t>
  </si>
  <si>
    <t>SGS</t>
  </si>
  <si>
    <t>GES</t>
  </si>
  <si>
    <t>SFS</t>
  </si>
  <si>
    <t>YNY</t>
  </si>
  <si>
    <t>DYR</t>
  </si>
  <si>
    <t>OHO</t>
  </si>
  <si>
    <t>UJE</t>
  </si>
  <si>
    <t>MPW</t>
  </si>
  <si>
    <t>VSG</t>
  </si>
  <si>
    <t>OZH</t>
  </si>
  <si>
    <t>KWG</t>
  </si>
  <si>
    <t>HRK</t>
  </si>
  <si>
    <t>IFO</t>
  </si>
  <si>
    <t>CWC</t>
  </si>
  <si>
    <t>RWN</t>
  </si>
  <si>
    <t>UDJ</t>
  </si>
  <si>
    <t>CSH</t>
  </si>
  <si>
    <t>CEE</t>
  </si>
  <si>
    <t>AMV</t>
  </si>
  <si>
    <t>KSZ</t>
  </si>
  <si>
    <t>PES</t>
  </si>
  <si>
    <t>GNA</t>
  </si>
  <si>
    <t>MVQ</t>
  </si>
  <si>
    <t>EIE</t>
  </si>
  <si>
    <t>KYZ</t>
  </si>
  <si>
    <t>NOZ</t>
  </si>
  <si>
    <t>HTG</t>
  </si>
  <si>
    <t>IAA</t>
  </si>
  <si>
    <t>GRV</t>
  </si>
  <si>
    <t>NAL</t>
  </si>
  <si>
    <t>OGZ</t>
  </si>
  <si>
    <t>ESL</t>
  </si>
  <si>
    <t>WKK</t>
  </si>
  <si>
    <t>BKX</t>
  </si>
  <si>
    <t>BLF</t>
  </si>
  <si>
    <t>EAR</t>
  </si>
  <si>
    <t>GLH</t>
  </si>
  <si>
    <t>IFP</t>
  </si>
  <si>
    <t>IGM</t>
  </si>
  <si>
    <t>PSC</t>
  </si>
  <si>
    <t>KQA</t>
  </si>
  <si>
    <t>SVC</t>
  </si>
  <si>
    <t>LPS</t>
  </si>
  <si>
    <t>SLY</t>
  </si>
  <si>
    <t>HMA</t>
  </si>
  <si>
    <t>NYA</t>
  </si>
  <si>
    <t>OVS</t>
  </si>
  <si>
    <t>IJK</t>
  </si>
  <si>
    <t>KVX</t>
  </si>
  <si>
    <t>NYM</t>
  </si>
  <si>
    <t>RAT</t>
  </si>
  <si>
    <t>NFG</t>
  </si>
  <si>
    <t>KRO</t>
  </si>
  <si>
    <t>LBD</t>
  </si>
  <si>
    <t>AZN</t>
  </si>
  <si>
    <t>FEG</t>
  </si>
  <si>
    <t>NMA</t>
  </si>
  <si>
    <t>NCU</t>
  </si>
  <si>
    <t>UGC</t>
  </si>
  <si>
    <t>KSQ</t>
  </si>
  <si>
    <t>TMJ</t>
  </si>
  <si>
    <t>RYB</t>
  </si>
  <si>
    <t>EGO</t>
  </si>
  <si>
    <t>URS</t>
  </si>
  <si>
    <t>LPK</t>
  </si>
  <si>
    <t>VKT</t>
  </si>
  <si>
    <t>UUA</t>
  </si>
  <si>
    <t>JOK</t>
  </si>
  <si>
    <t>CSY</t>
  </si>
  <si>
    <t>ULY</t>
  </si>
  <si>
    <t>OSW</t>
  </si>
  <si>
    <t>PEZ</t>
  </si>
  <si>
    <t>SKX</t>
  </si>
  <si>
    <t>BWO</t>
  </si>
  <si>
    <t>HBX</t>
  </si>
  <si>
    <t>KCT</t>
  </si>
  <si>
    <t>WRZ</t>
  </si>
  <si>
    <t>BBM</t>
  </si>
  <si>
    <t>SHL</t>
  </si>
  <si>
    <t>GAU</t>
  </si>
  <si>
    <t>DMU</t>
  </si>
  <si>
    <t>TEZ</t>
  </si>
  <si>
    <t>BZL</t>
  </si>
  <si>
    <t>OUI</t>
  </si>
  <si>
    <t>KON</t>
  </si>
  <si>
    <t>BDP</t>
  </si>
  <si>
    <t>MEY</t>
  </si>
  <si>
    <t>KEP</t>
  </si>
  <si>
    <t>GAN</t>
  </si>
  <si>
    <t>HAQ</t>
  </si>
  <si>
    <t>KDO</t>
  </si>
  <si>
    <t>MAQ</t>
  </si>
  <si>
    <t>BMV</t>
  </si>
  <si>
    <t>HPH</t>
  </si>
  <si>
    <t>VCS</t>
  </si>
  <si>
    <t>VCA</t>
  </si>
  <si>
    <t>DIN</t>
  </si>
  <si>
    <t>UIH</t>
  </si>
  <si>
    <t>PXU</t>
  </si>
  <si>
    <t>VII</t>
  </si>
  <si>
    <t>BMO</t>
  </si>
  <si>
    <t>TVY</t>
  </si>
  <si>
    <t>KAW</t>
  </si>
  <si>
    <t>LIW</t>
  </si>
  <si>
    <t>MNU</t>
  </si>
  <si>
    <t>BSX</t>
  </si>
  <si>
    <t>PKK</t>
  </si>
  <si>
    <t>SWQ</t>
  </si>
  <si>
    <t>TMC</t>
  </si>
  <si>
    <t>BUI</t>
  </si>
  <si>
    <t>SEH</t>
  </si>
  <si>
    <t>TJS</t>
  </si>
  <si>
    <t>DTD</t>
  </si>
  <si>
    <t>BEJ</t>
  </si>
  <si>
    <t>TJG</t>
  </si>
  <si>
    <t>SMQ</t>
  </si>
  <si>
    <t>LUV</t>
  </si>
  <si>
    <t>ARD</t>
  </si>
  <si>
    <t>BLG</t>
  </si>
  <si>
    <t>LGL</t>
  </si>
  <si>
    <t>ODN</t>
  </si>
  <si>
    <t>MKM</t>
  </si>
  <si>
    <t>BKM</t>
  </si>
  <si>
    <t>LWY</t>
  </si>
  <si>
    <t>BBN</t>
  </si>
  <si>
    <t>TMG</t>
  </si>
  <si>
    <t>KUD</t>
  </si>
  <si>
    <t>TKG</t>
  </si>
  <si>
    <t>HLP</t>
  </si>
  <si>
    <t>NTX</t>
  </si>
  <si>
    <t>PSU</t>
  </si>
  <si>
    <t>SQG</t>
  </si>
  <si>
    <t>PDO</t>
  </si>
  <si>
    <t>LSW</t>
  </si>
  <si>
    <t>PKG</t>
  </si>
  <si>
    <t>KBU</t>
  </si>
  <si>
    <t>LBW</t>
  </si>
  <si>
    <t>NNX</t>
  </si>
  <si>
    <t>LPU</t>
  </si>
  <si>
    <t>ALH</t>
  </si>
  <si>
    <t>GYL</t>
  </si>
  <si>
    <t>AUU</t>
  </si>
  <si>
    <t>BCI</t>
  </si>
  <si>
    <t>BDD</t>
  </si>
  <si>
    <t>BVI</t>
  </si>
  <si>
    <t>BHQ</t>
  </si>
  <si>
    <t>BEU</t>
  </si>
  <si>
    <t>BRK</t>
  </si>
  <si>
    <t>BUC</t>
  </si>
  <si>
    <t>GIC</t>
  </si>
  <si>
    <t>OKY</t>
  </si>
  <si>
    <t>BQL</t>
  </si>
  <si>
    <t>BLT</t>
  </si>
  <si>
    <t>CVQ</t>
  </si>
  <si>
    <t>CAZ</t>
  </si>
  <si>
    <t>CPD</t>
  </si>
  <si>
    <t>CNC</t>
  </si>
  <si>
    <t>CNJ</t>
  </si>
  <si>
    <t>CED</t>
  </si>
  <si>
    <t>CTN</t>
  </si>
  <si>
    <t>CMA</t>
  </si>
  <si>
    <t>CNB</t>
  </si>
  <si>
    <t>CUQ</t>
  </si>
  <si>
    <t>OOM</t>
  </si>
  <si>
    <t>DMD</t>
  </si>
  <si>
    <t>NLF</t>
  </si>
  <si>
    <t>DPO</t>
  </si>
  <si>
    <t>ELC</t>
  </si>
  <si>
    <t>EPR</t>
  </si>
  <si>
    <t>FLS</t>
  </si>
  <si>
    <t>GET</t>
  </si>
  <si>
    <t>GLT</t>
  </si>
  <si>
    <t>GTE</t>
  </si>
  <si>
    <t>GFF</t>
  </si>
  <si>
    <t>HID</t>
  </si>
  <si>
    <t>HOK</t>
  </si>
  <si>
    <t>MHU</t>
  </si>
  <si>
    <t>HGD</t>
  </si>
  <si>
    <t>JCK</t>
  </si>
  <si>
    <t>KAX</t>
  </si>
  <si>
    <t>KNS</t>
  </si>
  <si>
    <t>KFG</t>
  </si>
  <si>
    <t>KRB</t>
  </si>
  <si>
    <t>KWM</t>
  </si>
  <si>
    <t>KUG</t>
  </si>
  <si>
    <t>LNO</t>
  </si>
  <si>
    <t>LEL</t>
  </si>
  <si>
    <t>LDH</t>
  </si>
  <si>
    <t>IRG</t>
  </si>
  <si>
    <t>LSY</t>
  </si>
  <si>
    <t>LHG</t>
  </si>
  <si>
    <t>LRE</t>
  </si>
  <si>
    <t>LER</t>
  </si>
  <si>
    <t>LVO</t>
  </si>
  <si>
    <t>UBB</t>
  </si>
  <si>
    <t>MKR</t>
  </si>
  <si>
    <t>MIM</t>
  </si>
  <si>
    <t>MGT</t>
  </si>
  <si>
    <t>MCV</t>
  </si>
  <si>
    <t>MQL</t>
  </si>
  <si>
    <t>MMG</t>
  </si>
  <si>
    <t>MRZ</t>
  </si>
  <si>
    <t>MOV</t>
  </si>
  <si>
    <t>MYA</t>
  </si>
  <si>
    <t>MGB</t>
  </si>
  <si>
    <t>ONG</t>
  </si>
  <si>
    <t>MYI</t>
  </si>
  <si>
    <t>MBH</t>
  </si>
  <si>
    <t>NRA</t>
  </si>
  <si>
    <t>NAA</t>
  </si>
  <si>
    <t>NTN</t>
  </si>
  <si>
    <t>ZNE</t>
  </si>
  <si>
    <t>OLP</t>
  </si>
  <si>
    <t>PUG</t>
  </si>
  <si>
    <t>PMK</t>
  </si>
  <si>
    <t>PBO</t>
  </si>
  <si>
    <t>CCK</t>
  </si>
  <si>
    <t>GOV</t>
  </si>
  <si>
    <t>PKE</t>
  </si>
  <si>
    <t>PLO</t>
  </si>
  <si>
    <t>EDR</t>
  </si>
  <si>
    <t>PQQ</t>
  </si>
  <si>
    <t>PTJ</t>
  </si>
  <si>
    <t>ULP</t>
  </si>
  <si>
    <t>RAM</t>
  </si>
  <si>
    <t>RMA</t>
  </si>
  <si>
    <t>SGO</t>
  </si>
  <si>
    <t>MJK</t>
  </si>
  <si>
    <t>SBR</t>
  </si>
  <si>
    <t>SRN</t>
  </si>
  <si>
    <t>XTG</t>
  </si>
  <si>
    <t>VCD</t>
  </si>
  <si>
    <t>SYU</t>
  </si>
  <si>
    <t>WNR</t>
  </si>
  <si>
    <t>WYA</t>
  </si>
  <si>
    <t>WUN</t>
  </si>
  <si>
    <t>WOL</t>
  </si>
  <si>
    <t>WIN</t>
  </si>
  <si>
    <t>BWT</t>
  </si>
  <si>
    <t>OKR</t>
  </si>
  <si>
    <t>XMY</t>
  </si>
  <si>
    <t>NAY</t>
  </si>
  <si>
    <t>CIF</t>
  </si>
  <si>
    <t>CIH</t>
  </si>
  <si>
    <t>HET</t>
  </si>
  <si>
    <t>BAV</t>
  </si>
  <si>
    <t>SJW</t>
  </si>
  <si>
    <t>HLH</t>
  </si>
  <si>
    <t>XIL</t>
  </si>
  <si>
    <t>BHY</t>
  </si>
  <si>
    <t>CGD</t>
  </si>
  <si>
    <t>DYG</t>
  </si>
  <si>
    <t>MXZ</t>
  </si>
  <si>
    <t>ZUH</t>
  </si>
  <si>
    <t>LZH</t>
  </si>
  <si>
    <t>ZHA</t>
  </si>
  <si>
    <t>ENH</t>
  </si>
  <si>
    <t>NNY</t>
  </si>
  <si>
    <t>XFN</t>
  </si>
  <si>
    <t>YIH</t>
  </si>
  <si>
    <t>AKA</t>
  </si>
  <si>
    <t>GOQ</t>
  </si>
  <si>
    <t>HZG</t>
  </si>
  <si>
    <t>IQN</t>
  </si>
  <si>
    <t>XNN</t>
  </si>
  <si>
    <t>ENY</t>
  </si>
  <si>
    <t>UYN</t>
  </si>
  <si>
    <t>AVK</t>
  </si>
  <si>
    <t>LTI</t>
  </si>
  <si>
    <t>BYN</t>
  </si>
  <si>
    <t>DLZ</t>
  </si>
  <si>
    <t>HVD</t>
  </si>
  <si>
    <t>MXV</t>
  </si>
  <si>
    <t>DIG</t>
  </si>
  <si>
    <t>LUM</t>
  </si>
  <si>
    <t>SYM</t>
  </si>
  <si>
    <t>ZAT</t>
  </si>
  <si>
    <t>KOW</t>
  </si>
  <si>
    <t>JDZ</t>
  </si>
  <si>
    <t>JIU</t>
  </si>
  <si>
    <t>JUZ</t>
  </si>
  <si>
    <t>LYG</t>
  </si>
  <si>
    <t>HYN</t>
  </si>
  <si>
    <t>LYI</t>
  </si>
  <si>
    <t>JJN</t>
  </si>
  <si>
    <t>TXN</t>
  </si>
  <si>
    <t>WEF</t>
  </si>
  <si>
    <t>WEH</t>
  </si>
  <si>
    <t>WUX</t>
  </si>
  <si>
    <t>WUS</t>
  </si>
  <si>
    <t>WNZ</t>
  </si>
  <si>
    <t>YNZ</t>
  </si>
  <si>
    <t>YIW</t>
  </si>
  <si>
    <t>HSN</t>
  </si>
  <si>
    <t>BPX</t>
  </si>
  <si>
    <t>DAX</t>
  </si>
  <si>
    <t>GYS</t>
  </si>
  <si>
    <t>LZO</t>
  </si>
  <si>
    <t>MIG</t>
  </si>
  <si>
    <t>NAO</t>
  </si>
  <si>
    <t>LZY</t>
  </si>
  <si>
    <t>WXN</t>
  </si>
  <si>
    <t>AKU</t>
  </si>
  <si>
    <t>IQM</t>
  </si>
  <si>
    <t>KCA</t>
  </si>
  <si>
    <t>KRL</t>
  </si>
  <si>
    <t>KRY</t>
  </si>
  <si>
    <t>YIN</t>
  </si>
  <si>
    <t>HEK</t>
  </si>
  <si>
    <t>JMU</t>
  </si>
  <si>
    <t>JNZ</t>
  </si>
  <si>
    <t>NDG</t>
  </si>
  <si>
    <t>YNJ</t>
  </si>
  <si>
    <t>WME</t>
  </si>
  <si>
    <t>LRV</t>
  </si>
  <si>
    <t>IOR</t>
  </si>
  <si>
    <t>NNR</t>
  </si>
  <si>
    <t>GTI</t>
  </si>
  <si>
    <t>NBB</t>
  </si>
  <si>
    <t>ORH</t>
  </si>
  <si>
    <t>AQG</t>
  </si>
  <si>
    <t>JGS</t>
  </si>
  <si>
    <t>SHP</t>
  </si>
  <si>
    <t>YCU</t>
  </si>
  <si>
    <t>LHW</t>
  </si>
  <si>
    <t>JGN</t>
  </si>
  <si>
    <t>DDG</t>
  </si>
  <si>
    <t>DSN</t>
  </si>
  <si>
    <t>PZI</t>
  </si>
  <si>
    <t>ZVE</t>
  </si>
  <si>
    <t>DIB</t>
  </si>
  <si>
    <t>XOZ</t>
  </si>
  <si>
    <t>PWT</t>
  </si>
  <si>
    <t>SPW</t>
  </si>
  <si>
    <t>JEF</t>
  </si>
  <si>
    <t>GCW</t>
  </si>
  <si>
    <t>BLD</t>
  </si>
  <si>
    <t>PVC</t>
  </si>
  <si>
    <t>LKE</t>
  </si>
  <si>
    <t>%u0</t>
  </si>
  <si>
    <t>SBH</t>
  </si>
  <si>
    <t>SUI</t>
  </si>
  <si>
    <t>TBW</t>
  </si>
  <si>
    <t>OBN</t>
  </si>
  <si>
    <t>FSZ</t>
  </si>
  <si>
    <t>ERM</t>
  </si>
  <si>
    <t>CVF</t>
  </si>
  <si>
    <t>FUL</t>
  </si>
  <si>
    <t>FWM</t>
  </si>
  <si>
    <t>NVI</t>
  </si>
  <si>
    <t>JPU</t>
  </si>
  <si>
    <t>RRA</t>
  </si>
  <si>
    <t>QSF</t>
  </si>
  <si>
    <t>LRH</t>
  </si>
  <si>
    <t>PME</t>
  </si>
  <si>
    <t>MCW</t>
  </si>
  <si>
    <t>JNG</t>
  </si>
  <si>
    <t>OHE</t>
  </si>
  <si>
    <t>DAQ</t>
  </si>
  <si>
    <t>IAR</t>
  </si>
  <si>
    <t>QNC</t>
  </si>
  <si>
    <t>ZJI</t>
  </si>
  <si>
    <t>RMT</t>
  </si>
  <si>
    <t>UKX</t>
  </si>
  <si>
    <t>1OH</t>
  </si>
  <si>
    <t>BN1</t>
  </si>
  <si>
    <t>BNY</t>
  </si>
  <si>
    <t>RIN</t>
  </si>
  <si>
    <t>EAT</t>
  </si>
  <si>
    <t>JDR</t>
  </si>
  <si>
    <t>AGE</t>
  </si>
  <si>
    <t>OSH</t>
  </si>
  <si>
    <t>BQT</t>
  </si>
  <si>
    <t>TNL</t>
  </si>
  <si>
    <t>CEJ</t>
  </si>
  <si>
    <t>UKC</t>
  </si>
  <si>
    <t>BEH</t>
  </si>
  <si>
    <t>UES</t>
  </si>
  <si>
    <t>NOA</t>
  </si>
  <si>
    <t>KTR</t>
  </si>
  <si>
    <t>X01</t>
  </si>
  <si>
    <t>COQ</t>
  </si>
  <si>
    <t>TRO</t>
  </si>
  <si>
    <t>OAG</t>
  </si>
  <si>
    <t>GFN</t>
  </si>
  <si>
    <t>MRQ</t>
  </si>
  <si>
    <t>HDM</t>
  </si>
  <si>
    <t>YIF</t>
  </si>
  <si>
    <t>VQS</t>
  </si>
  <si>
    <t>KMV</t>
  </si>
  <si>
    <t>MMR</t>
  </si>
  <si>
    <t>LSS</t>
  </si>
  <si>
    <t>YEI</t>
  </si>
  <si>
    <t>TEQ</t>
  </si>
  <si>
    <t>SIC</t>
  </si>
  <si>
    <t>CKZ</t>
  </si>
  <si>
    <t>AOE</t>
  </si>
  <si>
    <t>MPA</t>
  </si>
  <si>
    <t>WVB</t>
  </si>
  <si>
    <t>PDP</t>
  </si>
  <si>
    <t>SKT</t>
  </si>
  <si>
    <t>YVB</t>
  </si>
  <si>
    <t>BHG</t>
  </si>
  <si>
    <t>UAS</t>
  </si>
  <si>
    <t>CHG</t>
  </si>
  <si>
    <t>WLH</t>
  </si>
  <si>
    <t>TGC</t>
  </si>
  <si>
    <t>LKH</t>
  </si>
  <si>
    <t>EGN</t>
  </si>
  <si>
    <t>TOG</t>
  </si>
  <si>
    <t>PTH</t>
  </si>
  <si>
    <t>KVC</t>
  </si>
  <si>
    <t>KNW</t>
  </si>
  <si>
    <t>IGG</t>
  </si>
  <si>
    <t>NDC</t>
  </si>
  <si>
    <t>DHM</t>
  </si>
  <si>
    <t>CQD</t>
  </si>
  <si>
    <t>EGM</t>
  </si>
  <si>
    <t>RGS</t>
  </si>
  <si>
    <t>LEN</t>
  </si>
  <si>
    <t>DRG</t>
  </si>
  <si>
    <t>AFS</t>
  </si>
  <si>
    <t>MQM</t>
  </si>
  <si>
    <t>TCG</t>
  </si>
  <si>
    <t>LGQ</t>
  </si>
  <si>
    <t>PFQ</t>
  </si>
  <si>
    <t>IIL</t>
  </si>
  <si>
    <t>GBT</t>
  </si>
  <si>
    <t>ACP</t>
  </si>
  <si>
    <t>TBH</t>
  </si>
  <si>
    <t>WUZ</t>
  </si>
  <si>
    <t>HMI</t>
  </si>
  <si>
    <t>SDP</t>
  </si>
  <si>
    <t>GOP</t>
  </si>
  <si>
    <t>ACR</t>
  </si>
  <si>
    <t>HGR</t>
  </si>
  <si>
    <t>QBC</t>
  </si>
  <si>
    <t>PJA</t>
  </si>
  <si>
    <t>KPC</t>
  </si>
  <si>
    <t>GVR</t>
  </si>
  <si>
    <t>KVK</t>
  </si>
  <si>
    <t>CYZ</t>
  </si>
  <si>
    <t>TMU</t>
  </si>
  <si>
    <t>FON</t>
  </si>
  <si>
    <t>QOW</t>
  </si>
  <si>
    <t>ARC</t>
  </si>
  <si>
    <t>YTQ</t>
  </si>
  <si>
    <t>YPX</t>
  </si>
  <si>
    <t>OMC</t>
  </si>
  <si>
    <t>WTK</t>
  </si>
  <si>
    <t>SVA</t>
  </si>
  <si>
    <t>SHH</t>
  </si>
  <si>
    <t>RBY</t>
  </si>
  <si>
    <t>PHO</t>
  </si>
  <si>
    <t>MYU</t>
  </si>
  <si>
    <t>KVL</t>
  </si>
  <si>
    <t>KSM</t>
  </si>
  <si>
    <t>KAL</t>
  </si>
  <si>
    <t>HPB</t>
  </si>
  <si>
    <t>GAM</t>
  </si>
  <si>
    <t>ATK</t>
  </si>
  <si>
    <t>ANV</t>
  </si>
  <si>
    <t>AKP</t>
  </si>
  <si>
    <t>AAT</t>
  </si>
  <si>
    <t>ELA</t>
  </si>
  <si>
    <t>ZXB</t>
  </si>
  <si>
    <t>HHA</t>
  </si>
  <si>
    <t>NZH</t>
  </si>
  <si>
    <t>WUA</t>
  </si>
  <si>
    <t>GYY</t>
  </si>
  <si>
    <t>BRD</t>
  </si>
  <si>
    <t>LWB</t>
  </si>
  <si>
    <t>PGV</t>
  </si>
  <si>
    <t>CYF</t>
  </si>
  <si>
    <t>OXR</t>
  </si>
  <si>
    <t>BKG</t>
  </si>
  <si>
    <t>TEN</t>
  </si>
  <si>
    <t>KNC</t>
  </si>
  <si>
    <t>ZBP</t>
  </si>
  <si>
    <t>ZYP</t>
  </si>
  <si>
    <t>SCH</t>
  </si>
  <si>
    <t>NBC</t>
  </si>
  <si>
    <t>QRW</t>
  </si>
  <si>
    <t>LGO</t>
  </si>
  <si>
    <t>FNE</t>
  </si>
  <si>
    <t>ITK</t>
  </si>
  <si>
    <t>ONB</t>
  </si>
  <si>
    <t>TPI</t>
  </si>
  <si>
    <t>AGL</t>
  </si>
  <si>
    <t>WTP</t>
  </si>
  <si>
    <t>AWB</t>
  </si>
  <si>
    <t>TFM</t>
  </si>
  <si>
    <t>NLP</t>
  </si>
  <si>
    <t>CKC</t>
  </si>
  <si>
    <t>UST</t>
  </si>
  <si>
    <t>NLV</t>
  </si>
  <si>
    <t>RHP</t>
  </si>
  <si>
    <t>STS</t>
  </si>
  <si>
    <t>ISM</t>
  </si>
  <si>
    <t>LCQ</t>
  </si>
  <si>
    <t>LGU</t>
  </si>
  <si>
    <t>BMC</t>
  </si>
  <si>
    <t>MLD</t>
  </si>
  <si>
    <t>ASE</t>
  </si>
  <si>
    <t>HHH</t>
  </si>
  <si>
    <t>ULV</t>
  </si>
  <si>
    <t>GSS</t>
  </si>
  <si>
    <t>ZFV</t>
  </si>
  <si>
    <t>BWD</t>
  </si>
  <si>
    <t>LXY</t>
  </si>
  <si>
    <t>ERV</t>
  </si>
  <si>
    <t>GED</t>
  </si>
  <si>
    <t>ZSW</t>
  </si>
  <si>
    <t>GBN</t>
  </si>
  <si>
    <t>HYS</t>
  </si>
  <si>
    <t>SUS</t>
  </si>
  <si>
    <t>LYU</t>
  </si>
  <si>
    <t>GPZ</t>
  </si>
  <si>
    <t>TVF</t>
  </si>
  <si>
    <t>EGV</t>
  </si>
  <si>
    <t>ARV</t>
  </si>
  <si>
    <t>IKV</t>
  </si>
  <si>
    <t>YBV</t>
  </si>
  <si>
    <t>NGP</t>
  </si>
  <si>
    <t>YPI</t>
  </si>
  <si>
    <t>AVX</t>
  </si>
  <si>
    <t>MHV</t>
  </si>
  <si>
    <t>ZIN</t>
  </si>
  <si>
    <t>KEH</t>
  </si>
  <si>
    <t>CZH</t>
  </si>
  <si>
    <t>INQ</t>
  </si>
  <si>
    <t>SWT</t>
  </si>
  <si>
    <t>HUT</t>
  </si>
  <si>
    <t>BPM</t>
  </si>
  <si>
    <t>EGA</t>
  </si>
  <si>
    <t>GDZ</t>
  </si>
  <si>
    <t>STJ</t>
  </si>
  <si>
    <t>ZRT</t>
  </si>
  <si>
    <t>ZTF</t>
  </si>
  <si>
    <t>ZRP</t>
  </si>
  <si>
    <t>NDZ</t>
  </si>
  <si>
    <t>VOK</t>
  </si>
  <si>
    <t>UAB</t>
  </si>
  <si>
    <t>GUC</t>
  </si>
  <si>
    <t>SIA</t>
  </si>
  <si>
    <t>TOA</t>
  </si>
  <si>
    <t>MBL</t>
  </si>
  <si>
    <t>PGD</t>
  </si>
  <si>
    <t>JGC</t>
  </si>
  <si>
    <t>WFK</t>
  </si>
  <si>
    <t>JHW</t>
  </si>
  <si>
    <t>YTM</t>
  </si>
  <si>
    <t>SME</t>
  </si>
  <si>
    <t>SHD</t>
  </si>
  <si>
    <t>DVL</t>
  </si>
  <si>
    <t>DIK</t>
  </si>
  <si>
    <t>SDY</t>
  </si>
  <si>
    <t>CDR</t>
  </si>
  <si>
    <t>MCK</t>
  </si>
  <si>
    <t>MTH</t>
  </si>
  <si>
    <t>GDV</t>
  </si>
  <si>
    <t>OLF</t>
  </si>
  <si>
    <t>WYS</t>
  </si>
  <si>
    <t>ALS</t>
  </si>
  <si>
    <t>CNY</t>
  </si>
  <si>
    <t>ELY</t>
  </si>
  <si>
    <t>VEL</t>
  </si>
  <si>
    <t>SRR</t>
  </si>
  <si>
    <t>SOW</t>
  </si>
  <si>
    <t>MYL</t>
  </si>
  <si>
    <t>SMN</t>
  </si>
  <si>
    <t>MMH</t>
  </si>
  <si>
    <t>FRD</t>
  </si>
  <si>
    <t>ESD</t>
  </si>
  <si>
    <t>OTS</t>
  </si>
  <si>
    <t>AST</t>
  </si>
  <si>
    <t>ONP</t>
  </si>
  <si>
    <t>EMK</t>
  </si>
  <si>
    <t>UNK</t>
  </si>
  <si>
    <t>UUK</t>
  </si>
  <si>
    <t>SHX</t>
  </si>
  <si>
    <t>CHU</t>
  </si>
  <si>
    <t>NUI</t>
  </si>
  <si>
    <t>EEK</t>
  </si>
  <si>
    <t>KUK</t>
  </si>
  <si>
    <t>KWK</t>
  </si>
  <si>
    <t>MLL</t>
  </si>
  <si>
    <t>RSH</t>
  </si>
  <si>
    <t>WTL</t>
  </si>
  <si>
    <t>KEK</t>
  </si>
  <si>
    <t>KGK</t>
  </si>
  <si>
    <t>KLL</t>
  </si>
  <si>
    <t>KMO</t>
  </si>
  <si>
    <t>TWA</t>
  </si>
  <si>
    <t>CIK</t>
  </si>
  <si>
    <t>EAA</t>
  </si>
  <si>
    <t>HUS</t>
  </si>
  <si>
    <t>HSL</t>
  </si>
  <si>
    <t>MNT</t>
  </si>
  <si>
    <t>NUL</t>
  </si>
  <si>
    <t>RMP</t>
  </si>
  <si>
    <t>TAL</t>
  </si>
  <si>
    <t>VEE</t>
  </si>
  <si>
    <t>WBQ</t>
  </si>
  <si>
    <t>CEM</t>
  </si>
  <si>
    <t>SHG</t>
  </si>
  <si>
    <t>KBC</t>
  </si>
  <si>
    <t>CXF</t>
  </si>
  <si>
    <t>IYK</t>
  </si>
  <si>
    <t>VIS</t>
  </si>
  <si>
    <t>MCE</t>
  </si>
  <si>
    <t>CYR</t>
  </si>
  <si>
    <t>CPQ</t>
  </si>
  <si>
    <t>TWB</t>
  </si>
  <si>
    <t>AYK</t>
  </si>
  <si>
    <t>AGN</t>
  </si>
  <si>
    <t>ELV</t>
  </si>
  <si>
    <t>TKE</t>
  </si>
  <si>
    <t>PEC</t>
  </si>
  <si>
    <t>FNR</t>
  </si>
  <si>
    <t>EXI</t>
  </si>
  <si>
    <t>HNH</t>
  </si>
  <si>
    <t>AFE</t>
  </si>
  <si>
    <t>CGA</t>
  </si>
  <si>
    <t>HYL</t>
  </si>
  <si>
    <t>MTM</t>
  </si>
  <si>
    <t>KTB</t>
  </si>
  <si>
    <t>HYG</t>
  </si>
  <si>
    <t>WHD</t>
  </si>
  <si>
    <t>KPB</t>
  </si>
  <si>
    <t>PPV</t>
  </si>
  <si>
    <t>WWP</t>
  </si>
  <si>
    <t>KCQ</t>
  </si>
  <si>
    <t>EGX</t>
  </si>
  <si>
    <t>KCL</t>
  </si>
  <si>
    <t>KBW</t>
  </si>
  <si>
    <t>KPV</t>
  </si>
  <si>
    <t>PIP</t>
  </si>
  <si>
    <t>WSN</t>
  </si>
  <si>
    <t>AKK</t>
  </si>
  <si>
    <t>KYK</t>
  </si>
  <si>
    <t>KLN</t>
  </si>
  <si>
    <t>OLH</t>
  </si>
  <si>
    <t>KOZ</t>
  </si>
  <si>
    <t>ORI</t>
  </si>
  <si>
    <t>ALZ</t>
  </si>
  <si>
    <t>AOS</t>
  </si>
  <si>
    <t>KKB</t>
  </si>
  <si>
    <t>KMY</t>
  </si>
  <si>
    <t>KOY</t>
  </si>
  <si>
    <t>KPY</t>
  </si>
  <si>
    <t>KPR</t>
  </si>
  <si>
    <t>SYB</t>
  </si>
  <si>
    <t>WSJ</t>
  </si>
  <si>
    <t>KWP</t>
  </si>
  <si>
    <t>KZB</t>
  </si>
  <si>
    <t>ABL</t>
  </si>
  <si>
    <t>BKC</t>
  </si>
  <si>
    <t>IAN</t>
  </si>
  <si>
    <t>OBU</t>
  </si>
  <si>
    <t>ORV</t>
  </si>
  <si>
    <t>WLK</t>
  </si>
  <si>
    <t>KTS</t>
  </si>
  <si>
    <t>ELI</t>
  </si>
  <si>
    <t>GLV</t>
  </si>
  <si>
    <t>TLA</t>
  </si>
  <si>
    <t>WAA</t>
  </si>
  <si>
    <t>WMO</t>
  </si>
  <si>
    <t>CIL</t>
  </si>
  <si>
    <t>KKA</t>
  </si>
  <si>
    <t>SMK</t>
  </si>
  <si>
    <t>SKK</t>
  </si>
  <si>
    <t>WBB</t>
  </si>
  <si>
    <t>TNC</t>
  </si>
  <si>
    <t>AKB</t>
  </si>
  <si>
    <t>IKO</t>
  </si>
  <si>
    <t>ICY</t>
  </si>
  <si>
    <t>CYT</t>
  </si>
  <si>
    <t>AUK</t>
  </si>
  <si>
    <t>SXP</t>
  </si>
  <si>
    <t>KPN</t>
  </si>
  <si>
    <t>KFP</t>
  </si>
  <si>
    <t>NLG</t>
  </si>
  <si>
    <t>PML</t>
  </si>
  <si>
    <t>KLW</t>
  </si>
  <si>
    <t>KWN</t>
  </si>
  <si>
    <t>KOT</t>
  </si>
  <si>
    <t>KYU</t>
  </si>
  <si>
    <t>SCM</t>
  </si>
  <si>
    <t>NNL</t>
  </si>
  <si>
    <t>PDB</t>
  </si>
  <si>
    <t>NUP</t>
  </si>
  <si>
    <t>KKH</t>
  </si>
  <si>
    <t>NIB</t>
  </si>
  <si>
    <t>TCT</t>
  </si>
  <si>
    <t>PQS</t>
  </si>
  <si>
    <t>AKI</t>
  </si>
  <si>
    <t>TLT</t>
  </si>
  <si>
    <t>KGX</t>
  </si>
  <si>
    <t>AIN</t>
  </si>
  <si>
    <t>APZ</t>
  </si>
  <si>
    <t>RDS</t>
  </si>
  <si>
    <t>OLN</t>
  </si>
  <si>
    <t>RYO</t>
  </si>
  <si>
    <t>PNT</t>
  </si>
  <si>
    <t>CVI</t>
  </si>
  <si>
    <t>SGV</t>
  </si>
  <si>
    <t>IGB</t>
  </si>
  <si>
    <t>ELX</t>
  </si>
  <si>
    <t>NCN</t>
  </si>
  <si>
    <t>CZN</t>
  </si>
  <si>
    <t>6K8</t>
  </si>
  <si>
    <t>IRC</t>
  </si>
  <si>
    <t>KCC</t>
  </si>
  <si>
    <t>CKD</t>
  </si>
  <si>
    <t>RDV</t>
  </si>
  <si>
    <t>SLQ</t>
  </si>
  <si>
    <t>SRV</t>
  </si>
  <si>
    <t>HKB</t>
  </si>
  <si>
    <t>KAE</t>
  </si>
  <si>
    <t>AQC</t>
  </si>
  <si>
    <t>MHM</t>
  </si>
  <si>
    <t>MLY</t>
  </si>
  <si>
    <t>STG</t>
  </si>
  <si>
    <t>TEK</t>
  </si>
  <si>
    <t>WFB</t>
  </si>
  <si>
    <t>YSO</t>
  </si>
  <si>
    <t>YWB</t>
  </si>
  <si>
    <t>YTF</t>
  </si>
  <si>
    <t>YGV</t>
  </si>
  <si>
    <t>YXK</t>
  </si>
  <si>
    <t>XTL</t>
  </si>
  <si>
    <t>XLB</t>
  </si>
  <si>
    <t>XSI</t>
  </si>
  <si>
    <t>YBT</t>
  </si>
  <si>
    <t>ZGR</t>
  </si>
  <si>
    <t>YCR</t>
  </si>
  <si>
    <t>YRS</t>
  </si>
  <si>
    <t>YOP</t>
  </si>
  <si>
    <t>YBY</t>
  </si>
  <si>
    <t>ZNA</t>
  </si>
  <si>
    <t>XQU</t>
  </si>
  <si>
    <t>YJM</t>
  </si>
  <si>
    <t>YDT</t>
  </si>
  <si>
    <t>ZEL</t>
  </si>
  <si>
    <t>YHS</t>
  </si>
  <si>
    <t>PVP</t>
  </si>
  <si>
    <t>ZYR</t>
  </si>
  <si>
    <t>CYC</t>
  </si>
  <si>
    <t>BGK</t>
  </si>
  <si>
    <t>DGA</t>
  </si>
  <si>
    <t>PLJ</t>
  </si>
  <si>
    <t>SJX</t>
  </si>
  <si>
    <t>RNI</t>
  </si>
  <si>
    <t>BZA</t>
  </si>
  <si>
    <t>RFS</t>
  </si>
  <si>
    <t>SIU</t>
  </si>
  <si>
    <t>WSP</t>
  </si>
  <si>
    <t>RIK</t>
  </si>
  <si>
    <t>FUS</t>
  </si>
  <si>
    <t>COZ</t>
  </si>
  <si>
    <t>NEG</t>
  </si>
  <si>
    <t>EBO</t>
  </si>
  <si>
    <t>KFB</t>
  </si>
  <si>
    <t>ZMU</t>
  </si>
  <si>
    <t>ZAQ</t>
  </si>
  <si>
    <t>RVR</t>
  </si>
  <si>
    <t>RLO</t>
  </si>
  <si>
    <t>SSB</t>
  </si>
  <si>
    <t>ARR</t>
  </si>
  <si>
    <t>JSM</t>
  </si>
  <si>
    <t>UYU</t>
  </si>
  <si>
    <t>ZAU</t>
  </si>
  <si>
    <t>ZMA</t>
  </si>
  <si>
    <t>ZES</t>
  </si>
  <si>
    <t>RBQ</t>
  </si>
  <si>
    <t>ABF</t>
  </si>
  <si>
    <t>CPS</t>
  </si>
  <si>
    <t>ABN</t>
  </si>
  <si>
    <t>BTO</t>
  </si>
  <si>
    <t>DOE</t>
  </si>
  <si>
    <t>DRJ</t>
  </si>
  <si>
    <t>ICK</t>
  </si>
  <si>
    <t>OEM</t>
  </si>
  <si>
    <t>SMZ</t>
  </si>
  <si>
    <t>TOT</t>
  </si>
  <si>
    <t>AGI</t>
  </si>
  <si>
    <t>KIA</t>
  </si>
  <si>
    <t>CSC</t>
  </si>
  <si>
    <t>ORJ</t>
  </si>
  <si>
    <t>NAI</t>
  </si>
  <si>
    <t>IMB</t>
  </si>
  <si>
    <t>KAR</t>
  </si>
  <si>
    <t>USI</t>
  </si>
  <si>
    <t>MHA</t>
  </si>
  <si>
    <t>PJC</t>
  </si>
  <si>
    <t>ACD</t>
  </si>
  <si>
    <t>RVE</t>
  </si>
  <si>
    <t>LCR</t>
  </si>
  <si>
    <t>LMC</t>
  </si>
  <si>
    <t>VGZ</t>
  </si>
  <si>
    <t>EBG</t>
  </si>
  <si>
    <t>CAQ</t>
  </si>
  <si>
    <t>TLU</t>
  </si>
  <si>
    <t>CFB</t>
  </si>
  <si>
    <t>OPS</t>
  </si>
  <si>
    <t>GRP</t>
  </si>
  <si>
    <t>CMP</t>
  </si>
  <si>
    <t>BVS</t>
  </si>
  <si>
    <t>SFK</t>
  </si>
  <si>
    <t>PIN</t>
  </si>
  <si>
    <t>STZ</t>
  </si>
  <si>
    <t>MQH</t>
  </si>
  <si>
    <t>AUX</t>
  </si>
  <si>
    <t>NVP</t>
  </si>
  <si>
    <t>LVR</t>
  </si>
  <si>
    <t>FRC</t>
  </si>
  <si>
    <t>DOU</t>
  </si>
  <si>
    <t>ROO</t>
  </si>
  <si>
    <t>GPB</t>
  </si>
  <si>
    <t>JCB</t>
  </si>
  <si>
    <t>ZXE</t>
  </si>
  <si>
    <t>RVD</t>
  </si>
  <si>
    <t>AAX</t>
  </si>
  <si>
    <t>MBZ</t>
  </si>
  <si>
    <t>RBB</t>
  </si>
  <si>
    <t>CIZ</t>
  </si>
  <si>
    <t>BAZ</t>
  </si>
  <si>
    <t>DMT</t>
  </si>
  <si>
    <t>GNM</t>
  </si>
  <si>
    <t>QDJ</t>
  </si>
  <si>
    <t>LBZ</t>
  </si>
  <si>
    <t>KNP</t>
  </si>
  <si>
    <t>AMC</t>
  </si>
  <si>
    <t>GSQ</t>
  </si>
  <si>
    <t>MRB</t>
  </si>
  <si>
    <t>AWA</t>
  </si>
  <si>
    <t>JIJ</t>
  </si>
  <si>
    <t>MKS</t>
  </si>
  <si>
    <t>DBM</t>
  </si>
  <si>
    <t>DBT</t>
  </si>
  <si>
    <t>QHR</t>
  </si>
  <si>
    <t>GOB</t>
  </si>
  <si>
    <t>MYB</t>
  </si>
  <si>
    <t>MRE</t>
  </si>
  <si>
    <t>RBX</t>
  </si>
  <si>
    <t>CPA</t>
  </si>
  <si>
    <t>AMY</t>
  </si>
  <si>
    <t>UKY</t>
  </si>
  <si>
    <t>BZB</t>
  </si>
  <si>
    <t>BCW</t>
  </si>
  <si>
    <t>IBL</t>
  </si>
  <si>
    <t>MAX</t>
  </si>
  <si>
    <t>WHF</t>
  </si>
  <si>
    <t>NBE</t>
  </si>
  <si>
    <t>PAF</t>
  </si>
  <si>
    <t>SJM</t>
  </si>
  <si>
    <t>HTY</t>
  </si>
  <si>
    <t>RVV</t>
  </si>
  <si>
    <t>FUO</t>
  </si>
  <si>
    <t>HUZ</t>
  </si>
  <si>
    <t>ILD</t>
  </si>
  <si>
    <t>WPR</t>
  </si>
  <si>
    <t>YMY</t>
  </si>
  <si>
    <t>YBZ</t>
  </si>
  <si>
    <t>BIU</t>
  </si>
  <si>
    <t>GJR</t>
  </si>
  <si>
    <t>SAK</t>
  </si>
  <si>
    <t>IIA</t>
  </si>
  <si>
    <t>TDK</t>
  </si>
  <si>
    <t>ULG</t>
  </si>
  <si>
    <t>XDB</t>
  </si>
  <si>
    <t>VGD</t>
  </si>
  <si>
    <t>BVV</t>
  </si>
  <si>
    <t>OHH</t>
  </si>
  <si>
    <t>LDG</t>
  </si>
  <si>
    <t>HSK</t>
  </si>
  <si>
    <t>CQM</t>
  </si>
  <si>
    <t>NJF</t>
  </si>
  <si>
    <t>QYI</t>
  </si>
  <si>
    <t>CSA</t>
  </si>
  <si>
    <t>RKH</t>
  </si>
  <si>
    <t>AGC</t>
  </si>
  <si>
    <t>NZC</t>
  </si>
  <si>
    <t>FTY</t>
  </si>
  <si>
    <t>TSO</t>
  </si>
  <si>
    <t>TII</t>
  </si>
  <si>
    <t>ZAJ</t>
  </si>
  <si>
    <t>CCN</t>
  </si>
  <si>
    <t>FUG</t>
  </si>
  <si>
    <t>LCX</t>
  </si>
  <si>
    <t>BSD</t>
  </si>
  <si>
    <t>ACX</t>
  </si>
  <si>
    <t>XZM</t>
  </si>
  <si>
    <t>HZH</t>
  </si>
  <si>
    <t>60J</t>
  </si>
  <si>
    <t>OSU</t>
  </si>
  <si>
    <t>RSI</t>
  </si>
  <si>
    <t>ADS</t>
  </si>
  <si>
    <t>DTS</t>
  </si>
  <si>
    <t>RBN</t>
  </si>
  <si>
    <t>KHE</t>
  </si>
  <si>
    <t>SZS</t>
  </si>
  <si>
    <t>HJJ</t>
  </si>
  <si>
    <t>YQI</t>
  </si>
  <si>
    <t>ISO</t>
  </si>
  <si>
    <t>FFA</t>
  </si>
  <si>
    <t>LNJ</t>
  </si>
  <si>
    <t>WNH</t>
  </si>
  <si>
    <t>PLL</t>
  </si>
  <si>
    <t>SJL</t>
  </si>
  <si>
    <t>CKS</t>
  </si>
  <si>
    <t>ITB</t>
  </si>
  <si>
    <t>MWK</t>
  </si>
  <si>
    <t>QFZ</t>
  </si>
  <si>
    <t>QMZ</t>
  </si>
  <si>
    <t>GWW</t>
  </si>
  <si>
    <t>ZPQ</t>
  </si>
  <si>
    <t>TTR</t>
  </si>
  <si>
    <t>PGU</t>
  </si>
  <si>
    <t>YES</t>
  </si>
  <si>
    <t>OSB</t>
  </si>
  <si>
    <t>TJH</t>
  </si>
  <si>
    <t>AXJ</t>
  </si>
  <si>
    <t>KKX</t>
  </si>
  <si>
    <t>AGJ</t>
  </si>
  <si>
    <t>HAE</t>
  </si>
  <si>
    <t>LAC</t>
  </si>
  <si>
    <t>ULO</t>
  </si>
  <si>
    <t>BPR</t>
  </si>
  <si>
    <t>LBX</t>
  </si>
  <si>
    <t>BJT</t>
  </si>
  <si>
    <t>DIW</t>
  </si>
  <si>
    <t>TJU</t>
  </si>
  <si>
    <t>CMJ</t>
  </si>
  <si>
    <t>TAZ</t>
  </si>
  <si>
    <t>BWB</t>
  </si>
  <si>
    <t>MWB</t>
  </si>
  <si>
    <t>EXM</t>
  </si>
  <si>
    <t>DRB</t>
  </si>
  <si>
    <t>WGE</t>
  </si>
  <si>
    <t>BRT</t>
  </si>
  <si>
    <t>DKI</t>
  </si>
  <si>
    <t>LZR</t>
  </si>
  <si>
    <t>HLT</t>
  </si>
  <si>
    <t>HCQ</t>
  </si>
  <si>
    <t>FIZ</t>
  </si>
  <si>
    <t>RVT</t>
  </si>
  <si>
    <t>PVU</t>
  </si>
  <si>
    <t>SBS</t>
  </si>
  <si>
    <t>DTA</t>
  </si>
  <si>
    <t>RIF</t>
  </si>
  <si>
    <t>PUC</t>
  </si>
  <si>
    <t>LAM</t>
  </si>
  <si>
    <t>BXS</t>
  </si>
  <si>
    <t>HII</t>
  </si>
  <si>
    <t>INW</t>
  </si>
  <si>
    <t>DGL</t>
  </si>
  <si>
    <t>MZK</t>
  </si>
  <si>
    <t>AEA</t>
  </si>
  <si>
    <t>AAK</t>
  </si>
  <si>
    <t>KUC</t>
  </si>
  <si>
    <t>AIS</t>
  </si>
  <si>
    <t>TMN</t>
  </si>
  <si>
    <t>BEZ</t>
  </si>
  <si>
    <t>NIG</t>
  </si>
  <si>
    <t>BBG</t>
  </si>
  <si>
    <t>MTK</t>
  </si>
  <si>
    <t>MNK</t>
  </si>
  <si>
    <t>NON</t>
  </si>
  <si>
    <t>TSU</t>
  </si>
  <si>
    <t>BOT</t>
  </si>
  <si>
    <t>IMI</t>
  </si>
  <si>
    <t>TIC</t>
  </si>
  <si>
    <t>EAL</t>
  </si>
  <si>
    <t>LML</t>
  </si>
  <si>
    <t>AIC</t>
  </si>
  <si>
    <t>EJT</t>
  </si>
  <si>
    <t>WTZ</t>
  </si>
  <si>
    <t>KTF</t>
  </si>
  <si>
    <t>C23</t>
  </si>
  <si>
    <t>AAU</t>
  </si>
  <si>
    <t>AFT</t>
  </si>
  <si>
    <t>RNA</t>
  </si>
  <si>
    <t>CHY</t>
  </si>
  <si>
    <t>NNB</t>
  </si>
  <si>
    <t>XYA</t>
  </si>
  <si>
    <t>BPF</t>
  </si>
  <si>
    <t>BOW</t>
  </si>
  <si>
    <t>KMW</t>
  </si>
  <si>
    <t>FTI</t>
  </si>
  <si>
    <t>OFU</t>
  </si>
  <si>
    <t>LVK</t>
  </si>
  <si>
    <t>MPI</t>
  </si>
  <si>
    <t>GFY</t>
  </si>
  <si>
    <t>NDU</t>
  </si>
  <si>
    <t>BPU</t>
  </si>
  <si>
    <t>HRN</t>
  </si>
  <si>
    <t>LYT</t>
  </si>
  <si>
    <t>ORS</t>
  </si>
  <si>
    <t>QQP</t>
  </si>
  <si>
    <t>AGM</t>
  </si>
  <si>
    <t>TRM</t>
  </si>
  <si>
    <t>SMO</t>
  </si>
  <si>
    <t>UDD</t>
  </si>
  <si>
    <t>ZSY</t>
  </si>
  <si>
    <t>OLM</t>
  </si>
  <si>
    <t>DWA</t>
  </si>
  <si>
    <t>RIL</t>
  </si>
  <si>
    <t>SAA</t>
  </si>
  <si>
    <t>PDK</t>
  </si>
  <si>
    <t>BMG</t>
  </si>
  <si>
    <t>SUA</t>
  </si>
  <si>
    <t>MMU</t>
  </si>
  <si>
    <t>APC</t>
  </si>
  <si>
    <t>SDM</t>
  </si>
  <si>
    <t>PHK</t>
  </si>
  <si>
    <t>KIE</t>
  </si>
  <si>
    <t>NEZ</t>
  </si>
  <si>
    <t>MFT</t>
  </si>
  <si>
    <t>ECP</t>
  </si>
  <si>
    <t>SBD</t>
  </si>
  <si>
    <t>VAL</t>
  </si>
  <si>
    <t>MVF</t>
  </si>
  <si>
    <t>CAU</t>
  </si>
  <si>
    <t>AWK</t>
  </si>
  <si>
    <t>QNV</t>
  </si>
  <si>
    <t>XPG</t>
  </si>
  <si>
    <t>XGB</t>
  </si>
  <si>
    <t>XSH</t>
  </si>
  <si>
    <t>SQL</t>
  </si>
  <si>
    <t>OSZ</t>
  </si>
  <si>
    <t>LEY</t>
  </si>
  <si>
    <t>RWI</t>
  </si>
  <si>
    <t>SXQ</t>
  </si>
  <si>
    <t>SEE</t>
  </si>
  <si>
    <t>LTX</t>
  </si>
  <si>
    <t>ZYA</t>
  </si>
  <si>
    <t>JMY</t>
  </si>
  <si>
    <t>PHA</t>
  </si>
  <si>
    <t>SQH</t>
  </si>
  <si>
    <t>TKF</t>
  </si>
  <si>
    <t>FRJ</t>
  </si>
  <si>
    <t>GEX</t>
  </si>
  <si>
    <t>QPP</t>
  </si>
  <si>
    <t>MGR</t>
  </si>
  <si>
    <t>RYY</t>
  </si>
  <si>
    <t>ONH</t>
  </si>
  <si>
    <t>ASI</t>
  </si>
  <si>
    <t>4U9</t>
  </si>
  <si>
    <t>LVM</t>
  </si>
  <si>
    <t>ZWR</t>
  </si>
  <si>
    <t>6S0</t>
  </si>
  <si>
    <t>BIV</t>
  </si>
  <si>
    <t>HEN</t>
  </si>
  <si>
    <t>JRA</t>
  </si>
  <si>
    <t>LAL</t>
  </si>
  <si>
    <t>SYH</t>
  </si>
  <si>
    <t>IDL</t>
  </si>
  <si>
    <t>RBK</t>
  </si>
  <si>
    <t>FNU</t>
  </si>
  <si>
    <t>MYQ</t>
  </si>
  <si>
    <t>PCW</t>
  </si>
  <si>
    <t>MGY</t>
  </si>
  <si>
    <t>RID</t>
  </si>
  <si>
    <t>FDY</t>
  </si>
  <si>
    <t>PEA</t>
  </si>
  <si>
    <t>KFX</t>
  </si>
  <si>
    <t>MUQ</t>
  </si>
  <si>
    <t>NUR</t>
  </si>
  <si>
    <t>EBE</t>
  </si>
  <si>
    <t>AUB</t>
  </si>
  <si>
    <t>BIE</t>
  </si>
  <si>
    <t>BUH</t>
  </si>
  <si>
    <t>FUX</t>
  </si>
  <si>
    <t>KEX</t>
  </si>
  <si>
    <t>AIE</t>
  </si>
  <si>
    <t>SIM</t>
  </si>
  <si>
    <t>AUJ</t>
  </si>
  <si>
    <t>OAL</t>
  </si>
  <si>
    <t>MOS</t>
  </si>
  <si>
    <t>ESX</t>
  </si>
  <si>
    <t>BOX</t>
  </si>
  <si>
    <t>KOX</t>
  </si>
  <si>
    <t>BBP</t>
  </si>
  <si>
    <t>LES</t>
  </si>
  <si>
    <t>SPF</t>
  </si>
  <si>
    <t>KNO</t>
  </si>
  <si>
    <t>QYD</t>
  </si>
  <si>
    <t>OLV</t>
  </si>
  <si>
    <t>ONQ</t>
  </si>
  <si>
    <t>BJC</t>
  </si>
  <si>
    <t>UTM</t>
  </si>
  <si>
    <t>ZKB</t>
  </si>
  <si>
    <t>LND</t>
  </si>
  <si>
    <t>WPU</t>
  </si>
  <si>
    <t>UDE</t>
  </si>
  <si>
    <t>MWC</t>
  </si>
  <si>
    <t>JVL</t>
  </si>
  <si>
    <t>HTF</t>
  </si>
  <si>
    <t>GKY</t>
  </si>
  <si>
    <t>LZU</t>
  </si>
  <si>
    <t>BWG</t>
  </si>
  <si>
    <t>RVS</t>
  </si>
  <si>
    <t>NOI</t>
  </si>
  <si>
    <t>NHD</t>
  </si>
  <si>
    <t>KGO</t>
  </si>
  <si>
    <t>DBB</t>
  </si>
  <si>
    <t>BCE</t>
  </si>
  <si>
    <t>HDB</t>
  </si>
  <si>
    <t>BUY</t>
  </si>
  <si>
    <t>CKL</t>
  </si>
  <si>
    <t>TCZ</t>
  </si>
  <si>
    <t>UKS</t>
  </si>
  <si>
    <t>BER</t>
  </si>
  <si>
    <t>WZY</t>
  </si>
  <si>
    <t>JCI</t>
  </si>
  <si>
    <t>ESN</t>
  </si>
  <si>
    <t>HMR</t>
  </si>
  <si>
    <t>R49</t>
  </si>
  <si>
    <t>MYV</t>
  </si>
  <si>
    <t>STO</t>
  </si>
  <si>
    <t>JHE</t>
  </si>
  <si>
    <t>DUC</t>
  </si>
  <si>
    <t>E91</t>
  </si>
  <si>
    <t>UVA</t>
  </si>
  <si>
    <t>LOT</t>
  </si>
  <si>
    <t>C16</t>
  </si>
  <si>
    <t>CCR</t>
  </si>
  <si>
    <t>OCA</t>
  </si>
  <si>
    <t>YUS</t>
  </si>
  <si>
    <t>PYC</t>
  </si>
  <si>
    <t>UTU</t>
  </si>
  <si>
    <t>MPU</t>
  </si>
  <si>
    <t>HIA</t>
  </si>
  <si>
    <t>PVE</t>
  </si>
  <si>
    <t>YOO</t>
  </si>
  <si>
    <t>LHA</t>
  </si>
  <si>
    <t>SGH</t>
  </si>
  <si>
    <t>MSI</t>
  </si>
  <si>
    <t>HEX</t>
  </si>
  <si>
    <t>CDA</t>
  </si>
  <si>
    <t>JAB</t>
  </si>
  <si>
    <t>RGB</t>
  </si>
  <si>
    <t>TLG</t>
  </si>
  <si>
    <t>MPB</t>
  </si>
  <si>
    <t>HGS</t>
  </si>
  <si>
    <t>TOP</t>
  </si>
  <si>
    <t>EMP</t>
  </si>
  <si>
    <t>NGQ</t>
  </si>
  <si>
    <t>CSO</t>
  </si>
  <si>
    <t>WZB</t>
  </si>
  <si>
    <t>TKI</t>
  </si>
  <si>
    <t>PWK</t>
  </si>
  <si>
    <t>KLS</t>
  </si>
  <si>
    <t>3W2</t>
  </si>
  <si>
    <t>ZTA</t>
  </si>
  <si>
    <t>TWD</t>
  </si>
  <si>
    <t>38W</t>
  </si>
  <si>
    <t>0S9</t>
  </si>
  <si>
    <t>PUE</t>
  </si>
  <si>
    <t>KHC</t>
  </si>
  <si>
    <t>XDS</t>
  </si>
  <si>
    <t>XVV</t>
  </si>
  <si>
    <t>XZL</t>
  </si>
  <si>
    <t>ZRD</t>
  </si>
  <si>
    <t>XKL</t>
  </si>
  <si>
    <t>XAD</t>
  </si>
  <si>
    <t>XEF</t>
  </si>
  <si>
    <t>UKA</t>
  </si>
  <si>
    <t>ILN</t>
  </si>
  <si>
    <t>AVW</t>
  </si>
  <si>
    <t>CGZ</t>
  </si>
  <si>
    <t>BXK</t>
  </si>
  <si>
    <t>E63</t>
  </si>
  <si>
    <t>MMI</t>
  </si>
  <si>
    <t>STK</t>
  </si>
  <si>
    <t>RWL</t>
  </si>
  <si>
    <t>YZY</t>
  </si>
  <si>
    <t>CDW</t>
  </si>
  <si>
    <t>AIZ</t>
  </si>
  <si>
    <t>L35</t>
  </si>
  <si>
    <t>KIP</t>
  </si>
  <si>
    <t>BAM</t>
  </si>
  <si>
    <t>IGS</t>
  </si>
  <si>
    <t>TVI</t>
  </si>
  <si>
    <t>HSH</t>
  </si>
  <si>
    <t>GML</t>
  </si>
  <si>
    <t>TMA</t>
  </si>
  <si>
    <t>ZRB</t>
  </si>
  <si>
    <t>XYG</t>
  </si>
  <si>
    <t>QQS</t>
  </si>
  <si>
    <t>ULX</t>
  </si>
  <si>
    <t>QXR</t>
  </si>
  <si>
    <t>DVT</t>
  </si>
  <si>
    <t>YBW</t>
  </si>
  <si>
    <t>YGE</t>
  </si>
  <si>
    <t>YRV</t>
  </si>
  <si>
    <t>TYA</t>
  </si>
  <si>
    <t>HDO</t>
  </si>
  <si>
    <t>ZHY</t>
  </si>
  <si>
    <t>MCL</t>
  </si>
  <si>
    <t>LHD</t>
  </si>
  <si>
    <t>PPC</t>
  </si>
  <si>
    <t>KHW</t>
  </si>
  <si>
    <t>TXG</t>
  </si>
  <si>
    <t>HCC</t>
  </si>
  <si>
    <t>HLG</t>
  </si>
  <si>
    <t>FZG</t>
  </si>
  <si>
    <t>70J</t>
  </si>
  <si>
    <t>SSX</t>
  </si>
  <si>
    <t>XYE</t>
  </si>
  <si>
    <t>XEG</t>
  </si>
  <si>
    <t>XAX</t>
  </si>
  <si>
    <t>DWC</t>
  </si>
  <si>
    <t>RKP</t>
  </si>
  <si>
    <t>NDA</t>
  </si>
  <si>
    <t>MVV</t>
  </si>
  <si>
    <t>MFX</t>
  </si>
  <si>
    <t>AEB</t>
  </si>
  <si>
    <t>OKF</t>
  </si>
  <si>
    <t>OKU</t>
  </si>
  <si>
    <t>PSH</t>
  </si>
  <si>
    <t>CKF</t>
  </si>
  <si>
    <t>TTD</t>
  </si>
  <si>
    <t>HIO</t>
  </si>
  <si>
    <t>KHT</t>
  </si>
  <si>
    <t>NYT</t>
  </si>
  <si>
    <t>GAI</t>
  </si>
  <si>
    <t>AZ3</t>
  </si>
  <si>
    <t>YTA</t>
  </si>
  <si>
    <t>TSB</t>
  </si>
  <si>
    <t>YSD</t>
  </si>
  <si>
    <t>BNU</t>
  </si>
  <si>
    <t>SIB</t>
  </si>
  <si>
    <t>CIO</t>
  </si>
  <si>
    <t>CVX</t>
  </si>
  <si>
    <t>2J9</t>
  </si>
  <si>
    <t>RCE</t>
  </si>
  <si>
    <t>BYW</t>
  </si>
  <si>
    <t>RSJ</t>
  </si>
  <si>
    <t>WSX</t>
  </si>
  <si>
    <t>FBS</t>
  </si>
  <si>
    <t>YRR</t>
  </si>
  <si>
    <t>L06</t>
  </si>
  <si>
    <t>YCC</t>
  </si>
  <si>
    <t>IZA</t>
  </si>
  <si>
    <t>XFL</t>
  </si>
  <si>
    <t>DVA</t>
  </si>
  <si>
    <t>DZM</t>
  </si>
  <si>
    <t>MVL</t>
  </si>
  <si>
    <t>RBD</t>
  </si>
  <si>
    <t>6Y8</t>
  </si>
  <si>
    <t>MOW</t>
  </si>
  <si>
    <t>WST</t>
  </si>
  <si>
    <t>BID</t>
  </si>
  <si>
    <t>NME</t>
  </si>
  <si>
    <t>OOK</t>
  </si>
  <si>
    <t>TNK</t>
  </si>
  <si>
    <t>GNU</t>
  </si>
  <si>
    <t>WWT</t>
  </si>
  <si>
    <t>ACU</t>
  </si>
  <si>
    <t>TUW</t>
  </si>
  <si>
    <t>GHE</t>
  </si>
  <si>
    <t>MPP</t>
  </si>
  <si>
    <t>OBY</t>
  </si>
  <si>
    <t>VIN</t>
  </si>
  <si>
    <t>QXG</t>
  </si>
  <si>
    <t>BGE</t>
  </si>
  <si>
    <t>ZKG</t>
  </si>
  <si>
    <t>YBI</t>
  </si>
  <si>
    <t>SPZ</t>
  </si>
  <si>
    <t>WHP</t>
  </si>
  <si>
    <t>MAE</t>
  </si>
  <si>
    <t>U76</t>
  </si>
  <si>
    <t>YZZ</t>
  </si>
  <si>
    <t>YAB</t>
  </si>
  <si>
    <t>BCV</t>
  </si>
  <si>
    <t>MPY</t>
  </si>
  <si>
    <t>LDX</t>
  </si>
  <si>
    <t>AAJ</t>
  </si>
  <si>
    <t>LDO</t>
  </si>
  <si>
    <t>KJI</t>
  </si>
  <si>
    <t>CPB</t>
  </si>
  <si>
    <t>HMB</t>
  </si>
  <si>
    <t>RVY</t>
  </si>
  <si>
    <t>POJ</t>
  </si>
  <si>
    <t>JTC</t>
  </si>
  <si>
    <t>OIA</t>
  </si>
  <si>
    <t>RDC</t>
  </si>
  <si>
    <t>SXX</t>
  </si>
  <si>
    <t>BYO</t>
  </si>
  <si>
    <t>SXO</t>
  </si>
  <si>
    <t>CFC</t>
  </si>
  <si>
    <t>ERN</t>
  </si>
  <si>
    <t>CCI</t>
  </si>
  <si>
    <t>FBE</t>
  </si>
  <si>
    <t>CFO</t>
  </si>
  <si>
    <t>19A</t>
  </si>
  <si>
    <t>AAF</t>
  </si>
  <si>
    <t>UMU</t>
  </si>
  <si>
    <t>DTI</t>
  </si>
  <si>
    <t>FBA</t>
  </si>
  <si>
    <t>OLC</t>
  </si>
  <si>
    <t>HUW</t>
  </si>
  <si>
    <t>IRZ</t>
  </si>
  <si>
    <t>ORX</t>
  </si>
  <si>
    <t>TEF</t>
  </si>
  <si>
    <t>GZP</t>
  </si>
  <si>
    <t>SGJ</t>
  </si>
  <si>
    <t>LDZ</t>
  </si>
  <si>
    <t>INY</t>
  </si>
  <si>
    <t>DQH</t>
  </si>
  <si>
    <t>FRP</t>
  </si>
  <si>
    <t>ALX</t>
  </si>
  <si>
    <t>TAN</t>
  </si>
  <si>
    <t>PYM</t>
  </si>
  <si>
    <t>OQU</t>
  </si>
  <si>
    <t>1B9</t>
  </si>
  <si>
    <t>OWD</t>
  </si>
  <si>
    <t>BAF</t>
  </si>
  <si>
    <t>IJD</t>
  </si>
  <si>
    <t>MGJ</t>
  </si>
  <si>
    <t>CXY</t>
  </si>
  <si>
    <t>GHG</t>
  </si>
  <si>
    <t>DXR</t>
  </si>
  <si>
    <t>ASH</t>
  </si>
  <si>
    <t>LWM</t>
  </si>
  <si>
    <t>OXC</t>
  </si>
  <si>
    <t>FIT</t>
  </si>
  <si>
    <t>VPC</t>
  </si>
  <si>
    <t>PYP</t>
  </si>
  <si>
    <t>RMG</t>
  </si>
  <si>
    <t>GAD</t>
  </si>
  <si>
    <t>DKX</t>
  </si>
  <si>
    <t>WDR</t>
  </si>
  <si>
    <t>JYL</t>
  </si>
  <si>
    <t>DNN</t>
  </si>
  <si>
    <t>CTJ</t>
  </si>
  <si>
    <t>4A9</t>
  </si>
  <si>
    <t>LGC</t>
  </si>
  <si>
    <t>MLJ</t>
  </si>
  <si>
    <t>4A4</t>
  </si>
  <si>
    <t>PIM</t>
  </si>
  <si>
    <t>FFC</t>
  </si>
  <si>
    <t>9A1</t>
  </si>
  <si>
    <t>GVL</t>
  </si>
  <si>
    <t>54J</t>
  </si>
  <si>
    <t>9A5</t>
  </si>
  <si>
    <t>PHD</t>
  </si>
  <si>
    <t>UDG</t>
  </si>
  <si>
    <t>HXD</t>
  </si>
  <si>
    <t>49A</t>
  </si>
  <si>
    <t>0A9</t>
  </si>
  <si>
    <t>06A</t>
  </si>
  <si>
    <t>DNL</t>
  </si>
  <si>
    <t>MRN</t>
  </si>
  <si>
    <t>PBX</t>
  </si>
  <si>
    <t>TOC</t>
  </si>
  <si>
    <t>PLV</t>
  </si>
  <si>
    <t>WUU</t>
  </si>
  <si>
    <t>HUE</t>
  </si>
  <si>
    <t>OYL</t>
  </si>
  <si>
    <t>WYE</t>
  </si>
  <si>
    <t>GBK</t>
  </si>
  <si>
    <t>VDF</t>
  </si>
  <si>
    <t>AFW</t>
  </si>
  <si>
    <t>57C</t>
  </si>
  <si>
    <t>MYF</t>
  </si>
  <si>
    <t>SEL</t>
  </si>
  <si>
    <t>RMK</t>
  </si>
  <si>
    <t>KEW</t>
  </si>
  <si>
    <t>YSP</t>
  </si>
  <si>
    <t>YHF</t>
  </si>
  <si>
    <t>YHN</t>
  </si>
  <si>
    <t>YKX</t>
  </si>
  <si>
    <t>YMG</t>
  </si>
  <si>
    <t>YXZ</t>
  </si>
  <si>
    <t>YFD</t>
  </si>
  <si>
    <t>LWC</t>
  </si>
  <si>
    <t>EGT</t>
  </si>
  <si>
    <t>6A2</t>
  </si>
  <si>
    <t>PMP</t>
  </si>
  <si>
    <t>XMC</t>
  </si>
  <si>
    <t>ULH</t>
  </si>
  <si>
    <t>EET</t>
  </si>
  <si>
    <t>YUE</t>
  </si>
  <si>
    <t>XWG</t>
  </si>
  <si>
    <t>GZS</t>
  </si>
  <si>
    <t>LOP</t>
  </si>
  <si>
    <t>OMM</t>
  </si>
  <si>
    <t>ZML</t>
  </si>
  <si>
    <t>HDG</t>
  </si>
  <si>
    <t>UMP</t>
  </si>
  <si>
    <t>LOZ</t>
  </si>
  <si>
    <t>FBG</t>
  </si>
  <si>
    <t>WMI</t>
  </si>
  <si>
    <t>JXA</t>
  </si>
  <si>
    <t>YGM</t>
  </si>
  <si>
    <t>EYK</t>
  </si>
  <si>
    <t>RAC</t>
  </si>
  <si>
    <t>RZP</t>
  </si>
  <si>
    <t>QOT</t>
  </si>
  <si>
    <t>RKZ</t>
  </si>
  <si>
    <t>REI</t>
  </si>
  <si>
    <t>49X</t>
  </si>
  <si>
    <t>RIR</t>
  </si>
  <si>
    <t>TIW</t>
  </si>
  <si>
    <t>X39</t>
  </si>
  <si>
    <t>JKA</t>
  </si>
  <si>
    <t>VIF</t>
  </si>
  <si>
    <t>HMJ</t>
  </si>
  <si>
    <t>HIW</t>
  </si>
  <si>
    <t>HZL</t>
  </si>
  <si>
    <t>CBE</t>
  </si>
  <si>
    <t>YBO</t>
  </si>
  <si>
    <t>FGL</t>
  </si>
  <si>
    <t>KLF</t>
  </si>
  <si>
    <t>XEV</t>
  </si>
  <si>
    <t>QYX</t>
  </si>
  <si>
    <t>QRH</t>
  </si>
  <si>
    <t>XYJ</t>
  </si>
  <si>
    <t>BNJ</t>
  </si>
  <si>
    <t>ZGH</t>
  </si>
  <si>
    <t>ZSB</t>
  </si>
  <si>
    <t>ELL</t>
  </si>
  <si>
    <t>LNR</t>
  </si>
  <si>
    <t>JOT</t>
  </si>
  <si>
    <t>VYS</t>
  </si>
  <si>
    <t>JXN</t>
  </si>
  <si>
    <t>BBX</t>
  </si>
  <si>
    <t>OBE</t>
  </si>
  <si>
    <t>SEF</t>
  </si>
  <si>
    <t>AVO</t>
  </si>
  <si>
    <t>GIF</t>
  </si>
  <si>
    <t>ZPH</t>
  </si>
  <si>
    <t>OCF</t>
  </si>
  <si>
    <t>JES</t>
  </si>
  <si>
    <t>52A</t>
  </si>
  <si>
    <t>CCO</t>
  </si>
  <si>
    <t>HQU</t>
  </si>
  <si>
    <t>AIK</t>
  </si>
  <si>
    <t>CDN</t>
  </si>
  <si>
    <t>LBT</t>
  </si>
  <si>
    <t>3J1</t>
  </si>
  <si>
    <t>SOP</t>
  </si>
  <si>
    <t>RCZ</t>
  </si>
  <si>
    <t>99N</t>
  </si>
  <si>
    <t>93C</t>
  </si>
  <si>
    <t>Y51</t>
  </si>
  <si>
    <t>DLL</t>
  </si>
  <si>
    <t>7A4</t>
  </si>
  <si>
    <t>SVH</t>
  </si>
  <si>
    <t>C89</t>
  </si>
  <si>
    <t>BUU</t>
  </si>
  <si>
    <t>N53</t>
  </si>
  <si>
    <t>70N</t>
  </si>
  <si>
    <t>06N</t>
  </si>
  <si>
    <t>LHV</t>
  </si>
  <si>
    <t>04G</t>
  </si>
  <si>
    <t>3G3</t>
  </si>
  <si>
    <t>3G4</t>
  </si>
  <si>
    <t>4G0</t>
  </si>
  <si>
    <t>2G9</t>
  </si>
  <si>
    <t>4G4</t>
  </si>
  <si>
    <t>41N</t>
  </si>
  <si>
    <t>LPR</t>
  </si>
  <si>
    <t>7D9</t>
  </si>
  <si>
    <t>BKL</t>
  </si>
  <si>
    <t>DKK</t>
  </si>
  <si>
    <t>4G2</t>
  </si>
  <si>
    <t>N87</t>
  </si>
  <si>
    <t>VAY</t>
  </si>
  <si>
    <t>7N7</t>
  </si>
  <si>
    <t>LDJ</t>
  </si>
  <si>
    <t>O03</t>
  </si>
  <si>
    <t>0W3</t>
  </si>
  <si>
    <t>ANQ</t>
  </si>
  <si>
    <t>C65</t>
  </si>
  <si>
    <t>VNW</t>
  </si>
  <si>
    <t>17G</t>
  </si>
  <si>
    <t>X07</t>
  </si>
  <si>
    <t>RMY</t>
  </si>
  <si>
    <t>GVQ</t>
  </si>
  <si>
    <t>0G7</t>
  </si>
  <si>
    <t>N69</t>
  </si>
  <si>
    <t>4B8</t>
  </si>
  <si>
    <t>0G6</t>
  </si>
  <si>
    <t>CLW</t>
  </si>
  <si>
    <t>X49</t>
  </si>
  <si>
    <t>SCS</t>
  </si>
  <si>
    <t>QWC</t>
  </si>
  <si>
    <t>ZFR</t>
  </si>
  <si>
    <t>PLY</t>
  </si>
  <si>
    <t>XHP</t>
  </si>
  <si>
    <t>PAR</t>
  </si>
  <si>
    <t>BHF</t>
  </si>
  <si>
    <t>NYC</t>
  </si>
  <si>
    <t>CHI</t>
  </si>
  <si>
    <t>CGX</t>
  </si>
  <si>
    <t>TYO</t>
  </si>
  <si>
    <t>BJS</t>
  </si>
  <si>
    <t>MIL</t>
  </si>
  <si>
    <t>WAS</t>
  </si>
  <si>
    <t>YMQ</t>
  </si>
  <si>
    <t>YTO</t>
  </si>
  <si>
    <t>JZP</t>
  </si>
  <si>
    <t>BGS</t>
  </si>
  <si>
    <t>CRE</t>
  </si>
  <si>
    <t>SMT</t>
  </si>
  <si>
    <t>IGQ</t>
  </si>
  <si>
    <t>Y72</t>
  </si>
  <si>
    <t>RNM</t>
  </si>
  <si>
    <t>BXO</t>
  </si>
  <si>
    <t>OEB</t>
  </si>
  <si>
    <t>WBW</t>
  </si>
  <si>
    <t>LNN</t>
  </si>
  <si>
    <t>UMD</t>
  </si>
  <si>
    <t>RLK</t>
  </si>
  <si>
    <t>FFT</t>
  </si>
  <si>
    <t>LEW</t>
  </si>
  <si>
    <t>6S2</t>
  </si>
  <si>
    <t>1A3</t>
  </si>
  <si>
    <t>NBU</t>
  </si>
  <si>
    <t>MRK</t>
  </si>
  <si>
    <t>DRM</t>
  </si>
  <si>
    <t>8M8</t>
  </si>
  <si>
    <t>GDW</t>
  </si>
  <si>
    <t>LWA</t>
  </si>
  <si>
    <t>06C</t>
  </si>
  <si>
    <t>MFI</t>
  </si>
  <si>
    <t>ISW</t>
  </si>
  <si>
    <t>CWI</t>
  </si>
  <si>
    <t>BVY</t>
  </si>
  <si>
    <t>O27</t>
  </si>
  <si>
    <t>YRQ</t>
  </si>
  <si>
    <t>POF</t>
  </si>
  <si>
    <t>EPM</t>
  </si>
  <si>
    <t>EOK</t>
  </si>
  <si>
    <t>ME5</t>
  </si>
  <si>
    <t>PSL</t>
  </si>
  <si>
    <t>SOO</t>
  </si>
  <si>
    <t>VNA</t>
  </si>
  <si>
    <t>E51</t>
  </si>
  <si>
    <t>DKS</t>
  </si>
  <si>
    <t>XBG</t>
  </si>
  <si>
    <t>BYT</t>
  </si>
  <si>
    <t>ADY</t>
  </si>
  <si>
    <t>E55</t>
  </si>
  <si>
    <t>1G3</t>
  </si>
  <si>
    <t>GAS</t>
  </si>
  <si>
    <t>HOA</t>
  </si>
  <si>
    <t>KLK</t>
  </si>
  <si>
    <t>KEY</t>
  </si>
  <si>
    <t>ILU</t>
  </si>
  <si>
    <t>KRV</t>
  </si>
  <si>
    <t>DVD</t>
  </si>
  <si>
    <t>ATJ</t>
  </si>
  <si>
    <t>OVA</t>
  </si>
  <si>
    <t>ZRA</t>
  </si>
  <si>
    <t>ZSF</t>
  </si>
  <si>
    <t>XZK</t>
  </si>
  <si>
    <t>QQK</t>
  </si>
  <si>
    <t>XVJ</t>
  </si>
  <si>
    <t>XVH</t>
  </si>
  <si>
    <t>PUM</t>
  </si>
  <si>
    <t>RGK</t>
  </si>
  <si>
    <t>FLD</t>
  </si>
  <si>
    <t>PCZ</t>
  </si>
  <si>
    <t>STE</t>
  </si>
  <si>
    <t>ERY</t>
  </si>
  <si>
    <t>ZVM</t>
  </si>
  <si>
    <t>PEF</t>
  </si>
  <si>
    <t>GQQ</t>
  </si>
  <si>
    <t>TPN</t>
  </si>
  <si>
    <t>PTZ</t>
  </si>
  <si>
    <t>CKV</t>
  </si>
  <si>
    <t>XHN</t>
  </si>
  <si>
    <t>OHR</t>
  </si>
  <si>
    <t>LPC</t>
  </si>
  <si>
    <t>CTH</t>
  </si>
  <si>
    <t>BST</t>
  </si>
  <si>
    <t>LLK</t>
  </si>
  <si>
    <t>GBB</t>
  </si>
  <si>
    <t>ZTU</t>
  </si>
  <si>
    <t>LKP</t>
  </si>
  <si>
    <t>NY9</t>
  </si>
  <si>
    <t>JIQ</t>
  </si>
  <si>
    <t>DEE</t>
  </si>
  <si>
    <t>WIH</t>
  </si>
  <si>
    <t>AOH</t>
  </si>
  <si>
    <t>DSO</t>
  </si>
  <si>
    <t>YJS</t>
  </si>
  <si>
    <t>SSI</t>
  </si>
  <si>
    <t>BFP</t>
  </si>
  <si>
    <t>F57</t>
  </si>
  <si>
    <t>GGE</t>
  </si>
  <si>
    <t>HDI</t>
  </si>
  <si>
    <t>2A0</t>
  </si>
  <si>
    <t>2G2</t>
  </si>
  <si>
    <t>RNT</t>
  </si>
  <si>
    <t>ZBM</t>
  </si>
  <si>
    <t>POC</t>
  </si>
  <si>
    <t>09J</t>
  </si>
  <si>
    <t>CDK</t>
  </si>
  <si>
    <t>CTY</t>
  </si>
  <si>
    <t>CEU</t>
  </si>
  <si>
    <t>36U</t>
  </si>
  <si>
    <t>BEC</t>
  </si>
  <si>
    <t>47A</t>
  </si>
  <si>
    <t>55J</t>
  </si>
  <si>
    <t>GTU</t>
  </si>
  <si>
    <t>QFO</t>
  </si>
  <si>
    <t>SNY</t>
  </si>
  <si>
    <t>W13</t>
  </si>
  <si>
    <t>GKL</t>
  </si>
  <si>
    <t>RPB</t>
  </si>
  <si>
    <t>IFL</t>
  </si>
  <si>
    <t>BIN</t>
  </si>
  <si>
    <t>NBS</t>
  </si>
  <si>
    <t>RGO</t>
  </si>
  <si>
    <t>MOO</t>
  </si>
  <si>
    <t>LUZ</t>
  </si>
  <si>
    <t>JYO</t>
  </si>
  <si>
    <t>VAM</t>
  </si>
  <si>
    <t>IRU</t>
  </si>
  <si>
    <t>DHG</t>
  </si>
  <si>
    <t>LLF</t>
  </si>
  <si>
    <t>LSZ</t>
  </si>
  <si>
    <t>ONS</t>
  </si>
  <si>
    <t>TDR</t>
  </si>
  <si>
    <t>CZW</t>
  </si>
  <si>
    <t>SDC</t>
  </si>
  <si>
    <t>CLC</t>
  </si>
  <si>
    <t>CFX</t>
  </si>
  <si>
    <t>WBU</t>
  </si>
  <si>
    <t>TVS</t>
  </si>
  <si>
    <t>PAO</t>
  </si>
  <si>
    <t>FFZ</t>
  </si>
  <si>
    <t>P08</t>
  </si>
  <si>
    <t>P52</t>
  </si>
  <si>
    <t>A39</t>
  </si>
  <si>
    <t>E25</t>
  </si>
  <si>
    <t>YTY</t>
  </si>
  <si>
    <t>PTK</t>
  </si>
  <si>
    <t>KSI</t>
  </si>
  <si>
    <t>QPJ</t>
  </si>
  <si>
    <t>EEN</t>
  </si>
  <si>
    <t>THQ</t>
  </si>
  <si>
    <t>GKK</t>
  </si>
  <si>
    <t>RCS</t>
  </si>
  <si>
    <t>JHL</t>
  </si>
  <si>
    <t>EQY</t>
  </si>
  <si>
    <t>KNN</t>
  </si>
  <si>
    <t>RHD</t>
  </si>
  <si>
    <t>KMP</t>
  </si>
  <si>
    <t>KGT</t>
  </si>
  <si>
    <t>VUS</t>
  </si>
  <si>
    <t>IOW</t>
  </si>
  <si>
    <t>TLQ</t>
  </si>
  <si>
    <t>MWM</t>
  </si>
  <si>
    <t>ANP</t>
  </si>
  <si>
    <t>DUU</t>
  </si>
  <si>
    <t>FXO</t>
  </si>
  <si>
    <t>ODO</t>
  </si>
  <si>
    <t>ZTR</t>
  </si>
  <si>
    <t>HRI</t>
  </si>
  <si>
    <t>PEQ</t>
  </si>
  <si>
    <t>HBG</t>
  </si>
  <si>
    <t>QCJ</t>
  </si>
  <si>
    <t>QSC</t>
  </si>
  <si>
    <t>YKN</t>
  </si>
  <si>
    <t>SES</t>
  </si>
  <si>
    <t>XSB</t>
  </si>
  <si>
    <t>ZDY</t>
  </si>
  <si>
    <t>PCM</t>
  </si>
  <si>
    <t>KTI</t>
  </si>
  <si>
    <t>GYU</t>
  </si>
  <si>
    <t>CNI</t>
  </si>
  <si>
    <t>KRH</t>
  </si>
  <si>
    <t>JGD</t>
  </si>
  <si>
    <t>CCL</t>
  </si>
  <si>
    <t>1C9</t>
  </si>
  <si>
    <t>HWD</t>
  </si>
  <si>
    <t>MZP</t>
  </si>
  <si>
    <t>JHQ</t>
  </si>
  <si>
    <t>ARB</t>
  </si>
  <si>
    <t>SHT</t>
  </si>
  <si>
    <t>TEM</t>
  </si>
  <si>
    <t>GAH</t>
  </si>
  <si>
    <t>EIA</t>
  </si>
  <si>
    <t>WIO</t>
  </si>
  <si>
    <t>BFJ</t>
  </si>
  <si>
    <t>ULK</t>
  </si>
  <si>
    <t>IGD</t>
  </si>
  <si>
    <t>GNY</t>
  </si>
  <si>
    <t>KZR</t>
  </si>
  <si>
    <t>VLU</t>
  </si>
  <si>
    <t>ZTY</t>
  </si>
  <si>
    <t>YLK</t>
  </si>
  <si>
    <t>ULI</t>
  </si>
  <si>
    <t>BKN</t>
  </si>
  <si>
    <t>BEO</t>
  </si>
  <si>
    <t>4A7</t>
  </si>
  <si>
    <t>BMP</t>
  </si>
  <si>
    <t>NGZ</t>
  </si>
  <si>
    <t>ZWI</t>
  </si>
  <si>
    <t>NML</t>
  </si>
  <si>
    <t>EKI</t>
  </si>
  <si>
    <t>YCN</t>
  </si>
  <si>
    <t>BJP</t>
  </si>
  <si>
    <t>BQB</t>
  </si>
  <si>
    <t>GGR</t>
  </si>
  <si>
    <t>IVR</t>
  </si>
  <si>
    <t>GLI</t>
  </si>
  <si>
    <t>IMM</t>
  </si>
  <si>
    <t>YIC</t>
  </si>
  <si>
    <t>ZRZ</t>
  </si>
  <si>
    <t>PTB</t>
  </si>
  <si>
    <t>KGN</t>
  </si>
  <si>
    <t>SBM</t>
  </si>
  <si>
    <t>KFE</t>
  </si>
  <si>
    <t>3D2</t>
  </si>
  <si>
    <t>BJU</t>
  </si>
  <si>
    <t>THD</t>
  </si>
  <si>
    <t>MZJ</t>
  </si>
  <si>
    <t>GEU</t>
  </si>
  <si>
    <t>SAD</t>
  </si>
  <si>
    <t>SLJ</t>
  </si>
  <si>
    <t>KJP</t>
  </si>
  <si>
    <t>JCO</t>
  </si>
  <si>
    <t>SIK</t>
  </si>
  <si>
    <t>NYN</t>
  </si>
  <si>
    <t>ROD</t>
  </si>
  <si>
    <t>QUA</t>
  </si>
  <si>
    <t>BE2</t>
  </si>
  <si>
    <t>SR2</t>
  </si>
  <si>
    <t>L52</t>
  </si>
  <si>
    <t>TTI</t>
  </si>
  <si>
    <t>GFL</t>
  </si>
  <si>
    <t>5B2</t>
  </si>
  <si>
    <t>K27</t>
  </si>
  <si>
    <t>MJU</t>
  </si>
  <si>
    <t>CGC</t>
  </si>
  <si>
    <t>MTN</t>
  </si>
  <si>
    <t>LHM</t>
  </si>
  <si>
    <t>FZI</t>
  </si>
  <si>
    <t>IZG</t>
  </si>
  <si>
    <t>NEW</t>
  </si>
  <si>
    <t>COE</t>
  </si>
  <si>
    <t>BMT</t>
  </si>
  <si>
    <t>DNV</t>
  </si>
  <si>
    <t>COJ</t>
  </si>
  <si>
    <t>COI</t>
  </si>
  <si>
    <t>X59</t>
  </si>
  <si>
    <t>TIX</t>
  </si>
  <si>
    <t>X26</t>
  </si>
  <si>
    <t>TCY</t>
  </si>
  <si>
    <t>KEZ</t>
  </si>
  <si>
    <t>KDZ</t>
  </si>
  <si>
    <t>NYE</t>
  </si>
  <si>
    <t>1H2</t>
  </si>
  <si>
    <t>AAP</t>
  </si>
  <si>
    <t>FCM</t>
  </si>
  <si>
    <t>OJC</t>
  </si>
  <si>
    <t>GIU</t>
  </si>
  <si>
    <t>XWW</t>
  </si>
  <si>
    <t>EUM</t>
  </si>
  <si>
    <t>TKT</t>
  </si>
  <si>
    <t>YLS</t>
  </si>
  <si>
    <t>YEE</t>
  </si>
  <si>
    <t>NU8</t>
  </si>
  <si>
    <t>ND4</t>
  </si>
  <si>
    <t>NF4</t>
  </si>
  <si>
    <t>YCM</t>
  </si>
  <si>
    <t>X04</t>
  </si>
  <si>
    <t>XCM</t>
  </si>
  <si>
    <t>YPD</t>
  </si>
  <si>
    <t>OQN</t>
  </si>
  <si>
    <t>MNZ</t>
  </si>
  <si>
    <t>BGG</t>
  </si>
  <si>
    <t>KFS</t>
  </si>
  <si>
    <t>UT3</t>
  </si>
  <si>
    <t>GLQ</t>
  </si>
  <si>
    <t>2H0</t>
  </si>
  <si>
    <t>LLV</t>
  </si>
  <si>
    <t>DCY</t>
  </si>
  <si>
    <t>GXH</t>
  </si>
  <si>
    <t>1G4</t>
  </si>
  <si>
    <t>CIY</t>
  </si>
  <si>
    <t>9G1</t>
  </si>
  <si>
    <t>2B2</t>
  </si>
  <si>
    <t>LKK</t>
  </si>
  <si>
    <t>ZGG</t>
  </si>
  <si>
    <t>QQU</t>
  </si>
  <si>
    <t>QQW</t>
  </si>
  <si>
    <t>KVM</t>
  </si>
  <si>
    <t>ZKP</t>
  </si>
  <si>
    <t>UMS</t>
  </si>
  <si>
    <t>ADH</t>
  </si>
  <si>
    <t>NLT</t>
  </si>
  <si>
    <t>PTA</t>
  </si>
  <si>
    <t>BOR</t>
  </si>
  <si>
    <t>BHZ</t>
  </si>
  <si>
    <t>FDW</t>
  </si>
  <si>
    <t>OBC</t>
  </si>
  <si>
    <t>TDJ</t>
  </si>
  <si>
    <t>AQB</t>
  </si>
  <si>
    <t>BTZ</t>
  </si>
  <si>
    <t>DAW</t>
  </si>
  <si>
    <t>WAR</t>
  </si>
  <si>
    <t>PRL</t>
  </si>
  <si>
    <t>EWK</t>
  </si>
  <si>
    <t>BSJ</t>
  </si>
  <si>
    <t>TZR</t>
  </si>
  <si>
    <t>W04</t>
  </si>
  <si>
    <t>55S</t>
  </si>
  <si>
    <t>FBR</t>
  </si>
  <si>
    <t>S40</t>
  </si>
  <si>
    <t>CLS</t>
  </si>
  <si>
    <t>M94</t>
  </si>
  <si>
    <t>S30</t>
  </si>
  <si>
    <t>EVW</t>
  </si>
  <si>
    <t>K83</t>
  </si>
  <si>
    <t>LRO</t>
  </si>
  <si>
    <t>ACJ</t>
  </si>
  <si>
    <t>EUF</t>
  </si>
  <si>
    <t>6J4</t>
  </si>
  <si>
    <t>MQI</t>
  </si>
  <si>
    <t>AUO</t>
  </si>
  <si>
    <t>CZG</t>
  </si>
  <si>
    <t>EKY</t>
  </si>
  <si>
    <t>A50</t>
  </si>
  <si>
    <t>Ð˜ÐšÐ£</t>
  </si>
  <si>
    <t>MIC</t>
  </si>
  <si>
    <t>23M</t>
  </si>
  <si>
    <t>DBN</t>
  </si>
  <si>
    <t>UCA</t>
  </si>
  <si>
    <t>PUK</t>
  </si>
  <si>
    <t>CVO</t>
  </si>
  <si>
    <t>PXH</t>
  </si>
  <si>
    <t>CWT</t>
  </si>
  <si>
    <t>YGG</t>
  </si>
  <si>
    <t>YPT</t>
  </si>
  <si>
    <t>YMU</t>
  </si>
  <si>
    <t>YMP</t>
  </si>
  <si>
    <t>YTG</t>
  </si>
  <si>
    <t>DHB</t>
  </si>
  <si>
    <t>OLT</t>
  </si>
  <si>
    <t>tag</t>
  </si>
  <si>
    <t>Itineraries in chronological order</t>
  </si>
  <si>
    <t>bagCount</t>
  </si>
  <si>
    <t>clobHeader</t>
  </si>
  <si>
    <t>clobFooter</t>
  </si>
  <si>
    <t>bagWeight</t>
  </si>
  <si>
    <t>KGM</t>
  </si>
  <si>
    <t>overrideItineraryModelValue</t>
  </si>
  <si>
    <t>ABO Code</t>
  </si>
  <si>
    <t>Calc Embark</t>
  </si>
  <si>
    <t>Calc Debark</t>
  </si>
  <si>
    <t>Host Country</t>
  </si>
  <si>
    <t>count</t>
  </si>
  <si>
    <t>isblank</t>
  </si>
  <si>
    <t>utcOffsetLookup</t>
  </si>
  <si>
    <t>tzCheck</t>
  </si>
  <si>
    <t>gmtOffsetPreserved</t>
  </si>
  <si>
    <t>PNRrecordLocatorManifestGenerator</t>
  </si>
  <si>
    <t>sumtotal</t>
  </si>
  <si>
    <t>maxRowsPerTypeBMessage</t>
  </si>
  <si>
    <t>apiHeaderSegments</t>
  </si>
  <si>
    <t>apiFooterSegments</t>
  </si>
  <si>
    <t>freeSegments</t>
  </si>
  <si>
    <t>Column5</t>
  </si>
  <si>
    <t>apisMessageGroup</t>
  </si>
  <si>
    <t>apisMessageHeader</t>
  </si>
  <si>
    <t>apisMessageFooter</t>
  </si>
  <si>
    <t>newContents</t>
  </si>
  <si>
    <t>newHeader2</t>
  </si>
  <si>
    <t>newFooter2</t>
  </si>
  <si>
    <t>UNA Codeset</t>
  </si>
  <si>
    <t>:-.? *</t>
  </si>
  <si>
    <t>Standard UNA Codeset</t>
  </si>
  <si>
    <t>:+.? '</t>
  </si>
  <si>
    <t>Select Data Source</t>
  </si>
  <si>
    <t>Select Departure Date Adjustement</t>
  </si>
  <si>
    <t>Random Passenger Data Settings</t>
  </si>
  <si>
    <t>Basic Inputs</t>
  </si>
  <si>
    <t>Select Random Passengers</t>
  </si>
  <si>
    <t>OR Start With Passenger ID</t>
  </si>
  <si>
    <t>Current Selection Details</t>
  </si>
  <si>
    <t>Select Border-Crossing Flight ID</t>
  </si>
  <si>
    <t>Health Checks</t>
  </si>
  <si>
    <t>Detailed Options (Disregard if you don't know what it means)</t>
  </si>
  <si>
    <t>Select Number of Random Passengers</t>
  </si>
  <si>
    <t>Number of Passengers Requested</t>
  </si>
  <si>
    <t>Number of Passengers to be Generated</t>
  </si>
  <si>
    <t>Gory Details</t>
  </si>
  <si>
    <t>Flight Number</t>
  </si>
  <si>
    <t>Schedule (local time)</t>
  </si>
  <si>
    <t>Schedule (UTC)</t>
  </si>
  <si>
    <t>ETD (UTC)</t>
  </si>
  <si>
    <t>ETA (UTC)</t>
  </si>
  <si>
    <t>Different Itineraries</t>
  </si>
  <si>
    <t>Flight Direction</t>
  </si>
  <si>
    <t>Departing Country</t>
  </si>
  <si>
    <t>Arriving Country</t>
  </si>
  <si>
    <t>Equipment Selection</t>
  </si>
  <si>
    <t>Aircraft</t>
  </si>
  <si>
    <t>Number of Passengers on Flight</t>
  </si>
  <si>
    <t>Max Seating Capacity</t>
  </si>
  <si>
    <t>UNAcodeset</t>
  </si>
  <si>
    <t>Standard</t>
  </si>
  <si>
    <t>API String Builder</t>
  </si>
  <si>
    <t>Select UNA Codeset ID</t>
  </si>
  <si>
    <t>IATA</t>
  </si>
  <si>
    <t>carrierName</t>
  </si>
  <si>
    <t>Message In Sequence</t>
  </si>
  <si>
    <t>Select Message Push</t>
  </si>
  <si>
    <t>Message Settings</t>
  </si>
  <si>
    <t>Header</t>
  </si>
  <si>
    <t>Generate One File with all Passengers</t>
  </si>
  <si>
    <t>Generate API Files</t>
  </si>
  <si>
    <t>Number of API Messages</t>
  </si>
  <si>
    <t>Generate Other Files</t>
  </si>
  <si>
    <t>Do Not Change, Do Not Move</t>
  </si>
  <si>
    <t>General Settings</t>
  </si>
  <si>
    <t>GTAS Flight Number</t>
  </si>
  <si>
    <t>Hash of TVL</t>
  </si>
  <si>
    <t>APIS Message ID</t>
  </si>
  <si>
    <t>LOC125</t>
  </si>
  <si>
    <t>DTM189</t>
  </si>
  <si>
    <t>LOC87</t>
  </si>
  <si>
    <t>DTM232</t>
  </si>
  <si>
    <t>UNOA</t>
  </si>
  <si>
    <t>HDQCH2X</t>
  </si>
  <si>
    <t>Unique Reference</t>
  </si>
  <si>
    <t>APIS</t>
  </si>
  <si>
    <t>Random Number</t>
  </si>
  <si>
    <t>List Type</t>
  </si>
  <si>
    <t>Msg. Prep. Time (ddmmyy:hhmm)</t>
  </si>
  <si>
    <t>UN EDI</t>
  </si>
  <si>
    <t>Code 2</t>
  </si>
  <si>
    <t>02B</t>
  </si>
  <si>
    <t>apiSegments</t>
  </si>
  <si>
    <t>Footer</t>
  </si>
  <si>
    <t>Count</t>
  </si>
  <si>
    <r>
      <rPr>
        <u/>
        <sz val="11"/>
        <color theme="1"/>
        <rFont val="Calibri"/>
        <family val="2"/>
        <scheme val="minor"/>
      </rPr>
      <t>If Warned</t>
    </r>
    <r>
      <rPr>
        <sz val="11"/>
        <color theme="1"/>
        <rFont val="Calibri"/>
        <family val="2"/>
        <scheme val="minor"/>
      </rPr>
      <t>, Refresh Passenger Data---&gt;</t>
    </r>
  </si>
  <si>
    <t>Number of PNR Messages</t>
  </si>
  <si>
    <t>APIS Bag Weight Unit (KGM/LBR)</t>
  </si>
  <si>
    <t>Draft Footer</t>
  </si>
  <si>
    <t>Number of Passengers</t>
  </si>
  <si>
    <t>PNR Message ID</t>
  </si>
  <si>
    <t>PNR Message Count</t>
  </si>
  <si>
    <t>PNR Message Lead</t>
  </si>
  <si>
    <t>API Message Count</t>
  </si>
  <si>
    <t>APISmessageBeforeSub</t>
  </si>
  <si>
    <t>Itinerary Distribution equals 100%</t>
  </si>
  <si>
    <t>All Itineraries contain prime flight</t>
  </si>
  <si>
    <t>hhmm</t>
  </si>
  <si>
    <t>reverse chronological push</t>
  </si>
  <si>
    <t>Scheduled Flight Duration</t>
  </si>
  <si>
    <t>Airline Transmitting Data</t>
  </si>
  <si>
    <t>Operating Carrier IATA Code</t>
  </si>
  <si>
    <t>No Hashing Errors</t>
  </si>
  <si>
    <t>Random Passengers Toggle</t>
  </si>
  <si>
    <t>PAXLST</t>
  </si>
  <si>
    <t>53371718146010</t>
  </si>
  <si>
    <t xml:space="preserve">Max Seats on Aircraft </t>
  </si>
  <si>
    <t>EVELYN</t>
  </si>
  <si>
    <t>AAKESSON</t>
  </si>
  <si>
    <t>G839083</t>
  </si>
  <si>
    <t>89TVRV</t>
  </si>
  <si>
    <t>16D</t>
  </si>
  <si>
    <t>IIDA</t>
  </si>
  <si>
    <t>VILEN</t>
  </si>
  <si>
    <t>UQA8AC</t>
  </si>
  <si>
    <t>61D</t>
  </si>
  <si>
    <t>JONUZ</t>
  </si>
  <si>
    <t>MAJSTOROVIC</t>
  </si>
  <si>
    <t>17I57Q</t>
  </si>
  <si>
    <t>78C</t>
  </si>
  <si>
    <t>KARI</t>
  </si>
  <si>
    <t>SAEVARSSON</t>
  </si>
  <si>
    <t>O1694677</t>
  </si>
  <si>
    <t>10B</t>
  </si>
  <si>
    <t>LIBERA</t>
  </si>
  <si>
    <t>MARCHESI</t>
  </si>
  <si>
    <t>M709842</t>
  </si>
  <si>
    <t>P6PEPI</t>
  </si>
  <si>
    <t>43D</t>
  </si>
  <si>
    <t>VOGEL</t>
  </si>
  <si>
    <t>P3HPUN</t>
  </si>
  <si>
    <t>79A</t>
  </si>
  <si>
    <t>NUWWARRAH</t>
  </si>
  <si>
    <t>WASEM</t>
  </si>
  <si>
    <t>F980648</t>
  </si>
  <si>
    <t>74B</t>
  </si>
  <si>
    <t>RAIMO</t>
  </si>
  <si>
    <t>LAURILA</t>
  </si>
  <si>
    <t>HCTVT5</t>
  </si>
  <si>
    <t>22G</t>
  </si>
  <si>
    <t>TOBIAS</t>
  </si>
  <si>
    <t>DECKER</t>
  </si>
  <si>
    <t>X6091008</t>
  </si>
  <si>
    <t>HUJD8S</t>
  </si>
  <si>
    <t>46E</t>
  </si>
  <si>
    <t>Under Max Passengers per PNR</t>
  </si>
  <si>
    <t>pr</t>
  </si>
  <si>
    <t>AssignedTravelerType</t>
  </si>
  <si>
    <t>copaxCountColumn No.</t>
  </si>
  <si>
    <t>RawSingleApis</t>
  </si>
  <si>
    <t>RawSingleApisCharRep1</t>
  </si>
  <si>
    <t>RawSingleApisCharRep2</t>
  </si>
  <si>
    <t>RawIndividualApis</t>
  </si>
  <si>
    <t>RawIndividualApisCharRep1</t>
  </si>
  <si>
    <t>RawIndividualApisCharRep2</t>
  </si>
  <si>
    <t>passengersOnApis</t>
  </si>
  <si>
    <t>targetFlag</t>
  </si>
  <si>
    <t>depHasUtcOffset</t>
  </si>
  <si>
    <t>arrHasUtcOffset</t>
  </si>
  <si>
    <t>combinedBagWeight(kg)</t>
  </si>
  <si>
    <t>seatAssignment</t>
  </si>
  <si>
    <t>bagCount2</t>
  </si>
  <si>
    <t>passengerType</t>
  </si>
  <si>
    <t>segmentCount</t>
  </si>
  <si>
    <t>nationality</t>
  </si>
  <si>
    <t>lastName</t>
  </si>
  <si>
    <t>middleName</t>
  </si>
  <si>
    <t>firstName</t>
  </si>
  <si>
    <t>gender</t>
  </si>
  <si>
    <t>debarkation</t>
  </si>
  <si>
    <t>embarkation</t>
  </si>
  <si>
    <t>rowNumber</t>
  </si>
  <si>
    <t>clobMessage</t>
  </si>
  <si>
    <t>splitAPImessages</t>
  </si>
  <si>
    <t>entireFlightOnOneMessage</t>
  </si>
  <si>
    <t>dateOfBirth</t>
  </si>
  <si>
    <t>documentNumberPrimary</t>
  </si>
  <si>
    <t>documentTypePrimary</t>
  </si>
  <si>
    <t>documentIssuanceCountryPrimary</t>
  </si>
  <si>
    <t>documentNumberSecondary</t>
  </si>
  <si>
    <t>documentTypeSecondary</t>
  </si>
  <si>
    <t>documentIssuanceCountrySecondary</t>
  </si>
  <si>
    <t>documentExpirationDateSecondary</t>
  </si>
  <si>
    <t>dateOfBIrth</t>
  </si>
  <si>
    <t>documentExpirationPrimary</t>
  </si>
  <si>
    <t>documentExpirationSecondary</t>
  </si>
  <si>
    <t>pnrRecordLocatorNumber</t>
  </si>
  <si>
    <t>embarkationPort</t>
  </si>
  <si>
    <t>debarkationPort</t>
  </si>
  <si>
    <t>Message Sender</t>
  </si>
  <si>
    <t>Carrier Representative POC</t>
  </si>
  <si>
    <t>Sender 3-CHAR IATA Location CODE</t>
  </si>
  <si>
    <t>WORLD CUSTOMS ORGANIZATION</t>
  </si>
  <si>
    <t>YY</t>
  </si>
  <si>
    <t>SAMPLE CARRIER NAME</t>
  </si>
  <si>
    <t>YY123</t>
  </si>
  <si>
    <t>Message Preparation deadline</t>
  </si>
  <si>
    <t>Message Preparation deadlineTime</t>
  </si>
  <si>
    <t>Actual Message Preparation Time</t>
  </si>
  <si>
    <t>Phone Number</t>
  </si>
  <si>
    <t>Queue name</t>
  </si>
  <si>
    <t>Built for the WCO</t>
  </si>
  <si>
    <t>ABC123</t>
  </si>
  <si>
    <r>
      <t>Ali yy</t>
    </r>
    <r>
      <rPr>
        <sz val="11"/>
        <color theme="1"/>
        <rFont val="Calibri"/>
        <family val="2"/>
      </rPr>
      <t>é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</si>
</sst>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m/d/yyyy;@"/>
    <numFmt numFmtId="165" formatCode="0000"/>
    <numFmt numFmtId="166" formatCode="h:mm;@"/>
    <numFmt numFmtId="167" formatCode="yyyy\-mm\-dd\ hh:hh"/>
    <numFmt numFmtId="168" formatCode="yyyy\-mm\-dd\ hh:mm"/>
    <numFmt numFmtId="169" formatCode="#,##0.000"/>
    <numFmt numFmtId="170" formatCode="m/d/yy\ h:mm;@"/>
    <numFmt numFmtId="171" formatCode="#,##0.0000"/>
    <numFmt numFmtId="172" formatCode="d/m/yy\ h:mm;@"/>
    <numFmt numFmtId="173" formatCode="h\ &quot;hours&quot;\ m\ &quot;minutes&quot;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0"/>
      <color rgb="FF000000"/>
      <name val="Calibri"/>
      <family val="2"/>
    </font>
    <font>
      <sz val="16"/>
      <color theme="0"/>
      <name val="Calibri"/>
      <family val="2"/>
      <scheme val="minor"/>
    </font>
    <font>
      <sz val="9"/>
      <color theme="1"/>
      <name val="Courier New"/>
      <family val="3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ourier New"/>
      <family val="3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E24AA"/>
        <bgColor indexed="64"/>
      </patternFill>
    </fill>
    <fill>
      <patternFill patternType="solid">
        <fgColor rgb="FFFFC7CE"/>
      </patternFill>
    </fill>
    <fill>
      <patternFill patternType="solid">
        <fgColor theme="7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6">
    <xf numFmtId="0" fontId="0" fillId="0" borderId="0"/>
    <xf numFmtId="0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0" fontId="24" fillId="6" borderId="0" applyNumberFormat="0" applyBorder="0" applyAlignment="0" applyProtection="0"/>
    <xf numFmtId="0" fontId="25" fillId="7" borderId="0" applyNumberFormat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4" fontId="0" fillId="0" borderId="0" xfId="0" applyNumberFormat="1"/>
    <xf numFmtId="3" fontId="0" fillId="0" borderId="0" xfId="0" applyNumberFormat="1"/>
    <xf numFmtId="49" fontId="0" fillId="0" borderId="0" xfId="0" applyNumberFormat="1"/>
    <xf numFmtId="0" fontId="0" fillId="3" borderId="0" xfId="0" applyFill="1"/>
    <xf numFmtId="169" fontId="0" fillId="0" borderId="0" xfId="0" applyNumberFormat="1"/>
    <xf numFmtId="14" fontId="0" fillId="0" borderId="0" xfId="0" applyNumberFormat="1"/>
    <xf numFmtId="0" fontId="9" fillId="0" borderId="0" xfId="0" applyFont="1"/>
    <xf numFmtId="170" fontId="0" fillId="0" borderId="0" xfId="0" applyNumberFormat="1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171" fontId="0" fillId="0" borderId="0" xfId="0" applyNumberFormat="1"/>
    <xf numFmtId="0" fontId="13" fillId="4" borderId="3" xfId="0" applyFont="1" applyFill="1" applyBorder="1" applyAlignment="1">
      <alignment horizontal="center" vertical="center"/>
    </xf>
    <xf numFmtId="14" fontId="0" fillId="0" borderId="0" xfId="0" applyNumberFormat="1"/>
    <xf numFmtId="0" fontId="15" fillId="0" borderId="0" xfId="0" applyFont="1" applyFill="1" applyBorder="1" applyAlignment="1">
      <alignment horizontal="center" vertical="center"/>
    </xf>
    <xf numFmtId="49" fontId="0" fillId="5" borderId="0" xfId="0" applyNumberFormat="1" applyFill="1"/>
    <xf numFmtId="0" fontId="1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11" fillId="0" borderId="0" xfId="0" applyFont="1" applyFill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0" fillId="4" borderId="3" xfId="0" applyFont="1" applyFill="1" applyBorder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right"/>
    </xf>
    <xf numFmtId="0" fontId="8" fillId="0" borderId="0" xfId="0" applyFont="1" applyAlignment="1">
      <alignment horizontal="right" vertical="center"/>
    </xf>
    <xf numFmtId="0" fontId="0" fillId="0" borderId="4" xfId="0" applyBorder="1"/>
    <xf numFmtId="0" fontId="8" fillId="2" borderId="5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left"/>
    </xf>
    <xf numFmtId="0" fontId="16" fillId="2" borderId="6" xfId="0" applyFont="1" applyFill="1" applyBorder="1" applyAlignment="1">
      <alignment horizontal="left" wrapText="1"/>
    </xf>
    <xf numFmtId="0" fontId="19" fillId="2" borderId="5" xfId="0" applyFont="1" applyFill="1" applyBorder="1" applyAlignment="1">
      <alignment horizontal="right" vertical="center"/>
    </xf>
    <xf numFmtId="0" fontId="20" fillId="2" borderId="6" xfId="0" applyFont="1" applyFill="1" applyBorder="1" applyAlignment="1">
      <alignment horizontal="left" wrapText="1"/>
    </xf>
    <xf numFmtId="0" fontId="8" fillId="2" borderId="7" xfId="0" applyFont="1" applyFill="1" applyBorder="1" applyAlignment="1">
      <alignment horizontal="right" vertical="center"/>
    </xf>
    <xf numFmtId="0" fontId="8" fillId="2" borderId="8" xfId="0" applyFont="1" applyFill="1" applyBorder="1" applyAlignment="1">
      <alignment horizontal="left"/>
    </xf>
    <xf numFmtId="0" fontId="0" fillId="2" borderId="2" xfId="0" applyFill="1" applyBorder="1"/>
    <xf numFmtId="0" fontId="17" fillId="2" borderId="1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5" xfId="0" applyFill="1" applyBorder="1" applyAlignment="1">
      <alignment horizontal="right"/>
    </xf>
    <xf numFmtId="170" fontId="0" fillId="2" borderId="6" xfId="0" applyNumberForma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right"/>
    </xf>
    <xf numFmtId="170" fontId="0" fillId="2" borderId="8" xfId="0" applyNumberFormat="1" applyFill="1" applyBorder="1"/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right"/>
    </xf>
    <xf numFmtId="170" fontId="0" fillId="2" borderId="6" xfId="0" applyNumberFormat="1" applyFill="1" applyBorder="1"/>
    <xf numFmtId="173" fontId="20" fillId="2" borderId="6" xfId="0" applyNumberFormat="1" applyFont="1" applyFill="1" applyBorder="1" applyAlignment="1">
      <alignment horizontal="left" wrapText="1"/>
    </xf>
    <xf numFmtId="0" fontId="0" fillId="2" borderId="5" xfId="0" applyFill="1" applyBorder="1" applyAlignment="1">
      <alignment vertical="center"/>
    </xf>
    <xf numFmtId="0" fontId="0" fillId="0" borderId="4" xfId="0" applyBorder="1" applyAlignment="1">
      <alignment horizontal="left"/>
    </xf>
    <xf numFmtId="0" fontId="5" fillId="0" borderId="0" xfId="0" applyFont="1" applyAlignment="1">
      <alignment horizontal="left"/>
    </xf>
    <xf numFmtId="0" fontId="13" fillId="4" borderId="3" xfId="0" applyFont="1" applyFill="1" applyBorder="1" applyAlignment="1">
      <alignment horizontal="left" vertical="center"/>
    </xf>
    <xf numFmtId="0" fontId="0" fillId="4" borderId="3" xfId="0" applyFont="1" applyFill="1" applyBorder="1" applyAlignment="1">
      <alignment horizontal="left" vertical="center"/>
    </xf>
    <xf numFmtId="3" fontId="5" fillId="0" borderId="0" xfId="0" applyNumberFormat="1" applyFont="1" applyAlignment="1">
      <alignment horizontal="left" vertical="center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165" fontId="0" fillId="2" borderId="6" xfId="0" applyNumberForma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0" fillId="0" borderId="0" xfId="0" applyNumberFormat="1" applyAlignment="1">
      <alignment horizontal="left"/>
    </xf>
    <xf numFmtId="49" fontId="0" fillId="0" borderId="0" xfId="0" quotePrefix="1" applyNumberFormat="1"/>
    <xf numFmtId="14" fontId="0" fillId="0" borderId="0" xfId="0" applyNumberFormat="1"/>
    <xf numFmtId="0" fontId="25" fillId="7" borderId="9" xfId="85" applyBorder="1"/>
    <xf numFmtId="0" fontId="25" fillId="7" borderId="0" xfId="85"/>
    <xf numFmtId="14" fontId="25" fillId="7" borderId="0" xfId="85" applyNumberFormat="1"/>
    <xf numFmtId="0" fontId="25" fillId="7" borderId="0" xfId="85" applyAlignment="1">
      <alignment horizontal="left"/>
    </xf>
    <xf numFmtId="0" fontId="24" fillId="6" borderId="0" xfId="84"/>
    <xf numFmtId="49" fontId="0" fillId="5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14" fontId="0" fillId="5" borderId="0" xfId="0" applyNumberFormat="1" applyFill="1"/>
    <xf numFmtId="14" fontId="25" fillId="7" borderId="0" xfId="85" applyNumberFormat="1" applyAlignment="1">
      <alignment horizontal="left"/>
    </xf>
    <xf numFmtId="0" fontId="0" fillId="0" borderId="0" xfId="0" applyNumberFormat="1" applyAlignment="1">
      <alignment wrapText="1"/>
    </xf>
  </cellXfs>
  <cellStyles count="86">
    <cellStyle name="Accent4" xfId="85" builtinId="41"/>
    <cellStyle name="Bad" xfId="84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Normal" xfId="0" builtinId="0"/>
    <cellStyle name="Normal 2" xfId="1"/>
    <cellStyle name="Normal 3" xfId="64"/>
    <cellStyle name="Normal 4" xfId="83"/>
  </cellStyles>
  <dxfs count="142">
    <dxf>
      <numFmt numFmtId="0" formatCode="General"/>
    </dxf>
    <dxf>
      <numFmt numFmtId="169" formatCode="#,##0.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"/>
    </dxf>
    <dxf>
      <numFmt numFmtId="174" formatCode="m/d/yy"/>
    </dxf>
    <dxf>
      <numFmt numFmtId="174" formatCode="m/d/yy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174" formatCode="m/d/yy"/>
    </dxf>
    <dxf>
      <numFmt numFmtId="174" formatCode="m/d/yy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"/>
    </dxf>
    <dxf>
      <numFmt numFmtId="19" formatCode="m/d/yyyy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#,##0.000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4" formatCode="#,##0.00"/>
      <alignment horizontal="center" vertical="center" textRotation="0" indent="0" justifyLastLine="0" shrinkToFit="0" readingOrder="0"/>
    </dxf>
    <dxf>
      <numFmt numFmtId="167" formatCode="yyyy\-mm\-dd\ hh:hh"/>
      <alignment horizontal="center" vertical="center" textRotation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yyyy\-mm\-dd\ hh:mm"/>
      <alignment horizontal="center" vertical="center" textRotation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yyyy\-mm\-dd\ hh:mm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name val="Courier New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0" formatCode="General"/>
      <alignment horizontal="center" vertical="center" textRotation="0" wrapText="1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64" formatCode="m/d/yyyy;@"/>
      <alignment horizontal="center" vertical="center" textRotation="0" wrapText="0" indent="0" justifyLastLine="0" shrinkToFit="0" readingOrder="0"/>
    </dxf>
    <dxf>
      <numFmt numFmtId="166" formatCode="h:mm;@"/>
      <alignment horizontal="center" vertical="center" textRotation="0" wrapText="0" indent="0" justifyLastLine="0" shrinkToFit="0" readingOrder="0"/>
    </dxf>
    <dxf>
      <numFmt numFmtId="174" formatCode="m/d/yy"/>
      <alignment horizontal="center" vertical="center" textRotation="0" wrapText="0" indent="0" justifyLastLine="0" shrinkToFit="0" readingOrder="0"/>
    </dxf>
    <dxf>
      <numFmt numFmtId="167" formatCode="yyyy\-mm\-dd\ hh:hh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"/>
    </dxf>
    <dxf>
      <numFmt numFmtId="0" formatCode="General"/>
    </dxf>
    <dxf>
      <numFmt numFmtId="174" formatCode="m/d/yy"/>
    </dxf>
    <dxf>
      <numFmt numFmtId="174" formatCode="m/d/yy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19" formatCode="m/d/yyyy"/>
    </dxf>
    <dxf>
      <numFmt numFmtId="30" formatCode="@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8E24AA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8E24AA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8E24AA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8E24AA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8E24AA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8E24AA"/>
        </patternFill>
      </fill>
    </dxf>
  </dxfs>
  <tableStyles count="0" defaultTableStyle="TableStyleMedium2" defaultPivotStyle="PivotStyleLight16"/>
  <colors>
    <mruColors>
      <color rgb="FF8E24AA"/>
      <color rgb="FFE64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15240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0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Passengers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2346960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0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One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2346960</xdr:colOff>
          <xdr:row>32</xdr:row>
          <xdr:rowOff>0</xdr:rowOff>
        </xdr:from>
        <xdr:to>
          <xdr:col>2</xdr:col>
          <xdr:colOff>1691640</xdr:colOff>
          <xdr:row>33</xdr:row>
          <xdr:rowOff>15240</xdr:rowOff>
        </xdr:to>
        <xdr:sp macro="" textlink="">
          <xdr:nvSpPr>
            <xdr:cNvPr id="133133" name="Button 13" hidden="1">
              <a:extLst>
                <a:ext uri="{63B3BB69-23CF-44E3-9099-C40C66FF867C}">
                  <a14:compatExt spid="_x0000_s133133"/>
                </a:ext>
                <a:ext uri="{FF2B5EF4-FFF2-40B4-BE49-F238E27FC236}">
                  <a16:creationId xmlns:a16="http://schemas.microsoft.com/office/drawing/2014/main" id="{00000000-0008-0000-0000-00000D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X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47379</xdr:colOff>
      <xdr:row>4</xdr:row>
      <xdr:rowOff>24518</xdr:rowOff>
    </xdr:from>
    <xdr:to>
      <xdr:col>3</xdr:col>
      <xdr:colOff>275979</xdr:colOff>
      <xdr:row>4</xdr:row>
      <xdr:rowOff>247154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30504" y="977018"/>
          <a:ext cx="228600" cy="222636"/>
        </a:xfrm>
        <a:prstGeom prst="ellipse">
          <a:avLst/>
        </a:prstGeom>
        <a:solidFill>
          <a:srgbClr val="8E24A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3</xdr:col>
      <xdr:colOff>36446</xdr:colOff>
      <xdr:row>6</xdr:row>
      <xdr:rowOff>178274</xdr:rowOff>
    </xdr:from>
    <xdr:to>
      <xdr:col>3</xdr:col>
      <xdr:colOff>265046</xdr:colOff>
      <xdr:row>8</xdr:row>
      <xdr:rowOff>30495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19571" y="1659941"/>
          <a:ext cx="228600" cy="222637"/>
        </a:xfrm>
        <a:prstGeom prst="ellipse">
          <a:avLst/>
        </a:prstGeom>
        <a:solidFill>
          <a:srgbClr val="8E24A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3</xdr:col>
      <xdr:colOff>59258</xdr:colOff>
      <xdr:row>31</xdr:row>
      <xdr:rowOff>172256</xdr:rowOff>
    </xdr:from>
    <xdr:to>
      <xdr:col>3</xdr:col>
      <xdr:colOff>290840</xdr:colOff>
      <xdr:row>33</xdr:row>
      <xdr:rowOff>24825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42383" y="6733923"/>
          <a:ext cx="231582" cy="222985"/>
        </a:xfrm>
        <a:prstGeom prst="ellipse">
          <a:avLst/>
        </a:prstGeom>
        <a:solidFill>
          <a:srgbClr val="8E24A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3</xdr:col>
      <xdr:colOff>68226</xdr:colOff>
      <xdr:row>3</xdr:row>
      <xdr:rowOff>24825</xdr:rowOff>
    </xdr:from>
    <xdr:to>
      <xdr:col>3</xdr:col>
      <xdr:colOff>296826</xdr:colOff>
      <xdr:row>3</xdr:row>
      <xdr:rowOff>243155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751351" y="712742"/>
          <a:ext cx="228600" cy="218330"/>
        </a:xfrm>
        <a:prstGeom prst="ellipse">
          <a:avLst/>
        </a:prstGeom>
        <a:solidFill>
          <a:srgbClr val="8E24A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1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1" name="ManifestGeneratorInput" displayName="ManifestGeneratorInput" ref="A1:AB11" totalsRowShown="0">
  <autoFilter ref="A1:AB11"/>
  <tableColumns count="28">
    <tableColumn id="1" name="lastName" dataDxfId="125"/>
    <tableColumn id="2" name="firstName"/>
    <tableColumn id="27" name="middleName"/>
    <tableColumn id="3" name="dateOfBirth" dataDxfId="124"/>
    <tableColumn id="4" name="gender"/>
    <tableColumn id="5" name="nationality"/>
    <tableColumn id="7" name="documentTypePrimary"/>
    <tableColumn id="8" name="documentIssuanceCountryPrimary" dataDxfId="123"/>
    <tableColumn id="6" name="documentNumberPrimary" dataDxfId="122"/>
    <tableColumn id="45" name="documentExpirationPrimary" dataDxfId="121"/>
    <tableColumn id="10" name="documentTypeSecondary" dataDxfId="120"/>
    <tableColumn id="11" name="documentIssuanceCountrySecondary"/>
    <tableColumn id="9" name="documentNumberSecondary" dataDxfId="119"/>
    <tableColumn id="46" name="documentExpirationSecondary" dataDxfId="118"/>
    <tableColumn id="12" name="pnrRecordLocatorNumber"/>
    <tableColumn id="43" name="seatAssignment"/>
    <tableColumn id="18" name="embarkationPort"/>
    <tableColumn id="19" name="debarkationPort"/>
    <tableColumn id="44" name="passengerType"/>
    <tableColumn id="41" name="bagCount"/>
    <tableColumn id="42" name="combinedBagWeight(kg)"/>
    <tableColumn id="32" name="overrideItineraryModelValue" dataDxfId="117"/>
    <tableColumn id="22" name="RowNo." dataDxfId="116">
      <calculatedColumnFormula>ROW(ManifestGeneratorInput[[#This Row],[lastName]])-1</calculatedColumnFormula>
    </tableColumn>
    <tableColumn id="24" name="AssignedTravelerType" dataDxfId="115">
      <calculatedColumnFormula>IF(ManifestGeneratorInput[[#This Row],[OrderOnPNR]]=1,"Main","Co-Traveler")</calculatedColumnFormula>
    </tableColumn>
    <tableColumn id="25" name="OrderOnPNR" dataDxfId="114">
      <calculatedColumnFormula>SUMPRODUCT(--(ManifestGeneratorInput[pnrRecordLocatorNumber]=ManifestGeneratorInput[[#This Row],[pnrRecordLocatorNumber]]),--(ManifestGeneratorInput[RowNo.]&lt;=ManifestGeneratorInput[[#This Row],[RowNo.]]))</calculatedColumnFormula>
    </tableColumn>
    <tableColumn id="26" name="MainTraveler" dataDxfId="113">
      <calculatedColumnFormula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calculatedColumnFormula>
    </tableColumn>
    <tableColumn id="34" name="Calc Embark" dataDxfId="112">
      <calculatedColumnFormula>INDEX(ManifestGeneratorInput[embarkationPort],MATCH(ManifestGeneratorInput[[#This Row],[MainTraveler]],ManifestGeneratorInput[RowNo.],0))</calculatedColumnFormula>
    </tableColumn>
    <tableColumn id="35" name="Calc Debark" dataDxfId="111">
      <calculatedColumnFormula>INDEX(ManifestGeneratorInput[debarkationPort],MATCH(ManifestGeneratorInput[[#This Row],[MainTraveler]],ManifestGeneratorInput[RowNo.],0))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6" name="CannedFlights" displayName="CannedFlights" ref="A3:AC4" totalsRowShown="0" headerRowDxfId="110" dataDxfId="109">
  <autoFilter ref="A3:AC4"/>
  <tableColumns count="29">
    <tableColumn id="23" name="Unique_ID" dataDxfId="108"/>
    <tableColumn id="4" name="Flight Name" dataDxfId="107"/>
    <tableColumn id="6" name="Departure Airport" dataDxfId="106"/>
    <tableColumn id="10" name="Arrival Airport" dataDxfId="105"/>
    <tableColumn id="7" name="Date" dataDxfId="104"/>
    <tableColumn id="8" name="Departure Time" dataDxfId="103"/>
    <tableColumn id="11" name="Arrival Date" dataDxfId="102"/>
    <tableColumn id="12" name="Arrival Time" dataDxfId="101"/>
    <tableColumn id="25" name="Aircraft Configuration" dataDxfId="100"/>
    <tableColumn id="17" name="Admin CC" dataDxfId="99"/>
    <tableColumn id="18" name="Admin Flight No." dataDxfId="98"/>
    <tableColumn id="3" name="Flight Details" dataDxfId="97">
      <calculatedColumnFormula>UPPER(CONCATENATE(CannedFlights[[#This Row],[Departure Airport]]," ",TEXT(CannedFlights[[#This Row],[ETD]],"MMM-dd hhmm"),CHAR(10),CannedFlights[[#This Row],[Arrival Airport]]," ",TEXT(CannedFlights[[#This Row],[ETA]],"mmm-dd hhmm")))</calculatedColumnFormula>
    </tableColumn>
    <tableColumn id="16" name="Predecessors" dataDxfId="96">
      <calculatedColumnFormula>COUNTIFS(CannedFlights[Arrival Airport],"="&amp;CannedFlights[[#This Row],[Departure Airport]])</calculatedColumnFormula>
    </tableColumn>
    <tableColumn id="5" name="Successors" dataDxfId="95">
      <calculatedColumnFormula>COUNTIFS(CannedFlights[Departure Airport],"="&amp;CannedFlights[[#This Row],[Arrival Airport]])</calculatedColumnFormula>
    </tableColumn>
    <tableColumn id="28" name="PreSearch" dataDxfId="94">
      <calculatedColumnFormula>IF(CannedFlights[[#This Row],[Arrival Airport]]=$N$1,1,IF(CannedFlights[[#This Row],[Unique ID]]=$V$1,0,""))</calculatedColumnFormula>
    </tableColumn>
    <tableColumn id="19" name="Itinerary ID" dataDxfId="93"/>
    <tableColumn id="20" name="LegNo." dataDxfId="92"/>
    <tableColumn id="1" name="Operating Carrier" dataDxfId="91">
      <calculatedColumnFormula>LEFT(CannedFlights[[#This Row],[Flight Name]],2)</calculatedColumnFormula>
    </tableColumn>
    <tableColumn id="15" name="Op Flight No." dataDxfId="90">
      <calculatedColumnFormula>RIGHT(CannedFlights[[#This Row],[Flight Name]],LEN(CannedFlights[[#This Row],[Flight Name]])-2)</calculatedColumnFormula>
    </tableColumn>
    <tableColumn id="9" name="ETD" dataDxfId="89">
      <calculatedColumnFormula>E4+F4</calculatedColumnFormula>
    </tableColumn>
    <tableColumn id="13" name="ETA" dataDxfId="88">
      <calculatedColumnFormula>G4+H4</calculatedColumnFormula>
    </tableColumn>
    <tableColumn id="14" name="Unique ID" dataDxfId="87">
      <calculatedColumnFormula>CONCATENATE(CannedFlights[[#This Row],[Operating Carrier]],CannedFlights[[#This Row],[Op Flight No.]],"_",CannedFlights[[#This Row],[Departure Airport]],"_",CannedFlights[[#This Row],[Arrival Airport]],"_",TEXT(CannedFlights[[#This Row],[ETD]],"yyyy-mm-dd hh:mm"))</calculatedColumnFormula>
    </tableColumn>
    <tableColumn id="21" name="Flight Time" dataDxfId="86">
      <calculatedColumnFormula>CannedFlights[[#This Row],[ETA]]-CannedFlights[[#This Row],[ETD]]</calculatedColumnFormula>
    </tableColumn>
    <tableColumn id="22" name="Weekday" dataDxfId="85">
      <calculatedColumnFormula>INDEX(#REF!,MATCH(WEEKDAY(CannedFlights[[#This Row],[Date]],1),#REF!,0))</calculatedColumnFormula>
    </tableColumn>
    <tableColumn id="24" name="APD (equipment)" dataDxfId="84"/>
    <tableColumn id="2" name="ArrivalAdjustment" dataDxfId="83">
      <calculatedColumnFormula>IF(CannedFlights[[#This Row],[Arrival Date]]&lt;&gt;CannedFlights[[#This Row],[Date]],1,0)</calculatedColumnFormula>
    </tableColumn>
    <tableColumn id="27" name="IAD" dataDxfId="82">
      <calculatedColumnFormula>IF(OR(CannedFlights[[#This Row],[Departure Airport]]="IAD",CannedFlights[[#This Row],[Arrival Airport]]="IAD"),1,0)</calculatedColumnFormula>
    </tableColumn>
    <tableColumn id="29" name="depHasUtcOffset" dataDxfId="81">
      <calculatedColumnFormula>INDEX(Table18[iataAirportCode],MATCH(CannedFlights[[#This Row],[Departure Airport]],Table18[iataAirportCode],0))</calculatedColumnFormula>
    </tableColumn>
    <tableColumn id="30" name="arrHasUtcOffset" dataDxfId="80">
      <calculatedColumnFormula>INDEX(Table18[iataAirportCode],MATCH(CannedFlights[[#This Row],[Departure Airport]],Table18[iataAirportCode],0))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8" name="Table18" displayName="Table18" ref="A1:J213" totalsRowShown="0">
  <autoFilter ref="A1:J213"/>
  <tableColumns count="10">
    <tableColumn id="1" name="iataAirportCode"/>
    <tableColumn id="2" name="+/-" dataDxfId="79">
      <calculatedColumnFormula>IF(Table18[[#This Row],[gmtOffset]]&gt;0,"+",IF(Table18[[#This Row],[gmtOffset]]=0,"","-"))</calculatedColumnFormula>
    </tableColumn>
    <tableColumn id="3" name="gmtOffset"/>
    <tableColumn id="4" name="gmtOffsetValue" dataDxfId="78">
      <calculatedColumnFormula>Table18[[#This Row],[gmtOffset]]/24</calculatedColumnFormula>
    </tableColumn>
    <tableColumn id="5" name="count" dataDxfId="77">
      <calculatedColumnFormula>COUNTIFS(Table18[iataAirportCode],"="&amp;Table18[[#This Row],[iataAirportCode]])</calculatedColumnFormula>
    </tableColumn>
    <tableColumn id="6" name="isblank" dataDxfId="76">
      <calculatedColumnFormula>ISBLANK(Table18[[#This Row],[gmtOffset]])</calculatedColumnFormula>
    </tableColumn>
    <tableColumn id="7" name="Check" dataDxfId="75">
      <calculatedColumnFormula>IF(AND(Table18[[#This Row],[isblank]]=TRUE,Table18[[#This Row],[count]]&gt;1),"delete","")</calculatedColumnFormula>
    </tableColumn>
    <tableColumn id="8" name="utcOffsetLookup" dataDxfId="74"/>
    <tableColumn id="9" name="tzCheck" dataDxfId="73">
      <calculatedColumnFormula>IF(ISBLANK(Table18[[#This Row],[gmtOffset]]),Table18[[#This Row],[utcOffsetLookup]],Table18[[#This Row],[gmtOffset]])</calculatedColumnFormula>
    </tableColumn>
    <tableColumn id="10" name="gmtOffsetPreserved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0" name="Table60" displayName="Table60" ref="A1:B2" totalsRowShown="0">
  <autoFilter ref="A1:B2"/>
  <tableColumns count="2">
    <tableColumn id="1" name="IATA"/>
    <tableColumn id="2" name="carrier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5" name="Passenger_PNR" displayName="Passenger_PNR" ref="A1:BR11" totalsRowShown="0">
  <autoFilter ref="A1:BR11"/>
  <tableColumns count="70">
    <tableColumn id="421" name="entireFlightOnOneMessage" dataDxfId="71">
      <calculatedColumnFormula>Passenger_PNR[[#This Row],[RawSingleApisCharRep2]]</calculatedColumnFormula>
    </tableColumn>
    <tableColumn id="433" name="splitAPImessages" dataDxfId="70">
      <calculatedColumnFormula>Passenger_PNR[[#This Row],[RawIndividualApisCharRep2]]</calculatedColumnFormula>
    </tableColumn>
    <tableColumn id="420" name="clobMessage" dataDxfId="69">
      <calculatedColumnFormula>CONCATENATE(Passenger_PNR[[#This Row],[clobHeader]],Passenger_PNR[[#This Row],[pr]],Passenger_PNR[[#This Row],[clobFooter]])</calculatedColumnFormula>
    </tableColumn>
    <tableColumn id="1" name="rowNumber">
      <calculatedColumnFormula>ROW(Passenger_PNR[[#This Row],[rowNumber]])-1</calculatedColumnFormula>
    </tableColumn>
    <tableColumn id="56" name="passengerType" dataDxfId="68">
      <calculatedColumnFormula>IF(ISBLANK(INDEX(ManifestGeneratorInput[passengerType],MATCH(Passenger_PNR[[#This Row],[rowNumber]],ManifestGeneratorInput[RowNo.],0))),"Null~Value",INDEX(ManifestGeneratorInput[passengerType],MATCH(Passenger_PNR[[#This Row],[rowNumber]],ManifestGeneratorInput[RowNo.],0)))</calculatedColumnFormula>
    </tableColumn>
    <tableColumn id="122" name="lastName" dataDxfId="67">
      <calculatedColumnFormula>IF(ISBLANK(INDEX(ManifestGeneratorInput[lastName],MATCH(Passenger_PNR[[#This Row],[rowNumber]],ManifestGeneratorInput[RowNo.],0))),"Null~Value",INDEX(ManifestGeneratorInput[lastName],MATCH(Passenger_PNR[[#This Row],[rowNumber]],ManifestGeneratorInput[RowNo.],0)))</calculatedColumnFormula>
    </tableColumn>
    <tableColumn id="121" name="firstName" dataDxfId="66">
      <calculatedColumnFormula>IF(ISBLANK(INDEX(ManifestGeneratorInput[firstName],MATCH(Passenger_PNR[[#This Row],[rowNumber]],ManifestGeneratorInput[RowNo.],0))),"Null~Value",INDEX(ManifestGeneratorInput[firstName],MATCH(Passenger_PNR[[#This Row],[rowNumber]],ManifestGeneratorInput[RowNo.],0)))</calculatedColumnFormula>
    </tableColumn>
    <tableColumn id="155" name="middleName" dataDxfId="65">
      <calculatedColumnFormula>IF(ISBLANK(INDEX(ManifestGeneratorInput[middleName],MATCH(Passenger_PNR[[#This Row],[rowNumber]],ManifestGeneratorInput[RowNo.],0))),"Null~Value",INDEX(ManifestGeneratorInput[middleName],MATCH(Passenger_PNR[[#This Row],[rowNumber]],ManifestGeneratorInput[RowNo.],0)))</calculatedColumnFormula>
    </tableColumn>
    <tableColumn id="195" name="dateOfBIrth" dataDxfId="64">
      <calculatedColumnFormula>IF(ISBLANK(INDEX(ManifestGeneratorInput[dateOfBirth],MATCH(Passenger_PNR[[#This Row],[rowNumber]],ManifestGeneratorInput[RowNo.],0))),"Null~Value",INDEX(ManifestGeneratorInput[dateOfBirth],MATCH(Passenger_PNR[[#This Row],[rowNumber]],ManifestGeneratorInput[RowNo.],0)))</calculatedColumnFormula>
    </tableColumn>
    <tableColumn id="51" name="gender" dataDxfId="63">
      <calculatedColumnFormula>IF(ISBLANK(INDEX(ManifestGeneratorInput[gender],MATCH(Passenger_PNR[[#This Row],[rowNumber]],ManifestGeneratorInput[RowNo.],0))),"Null~Value",INDEX(ManifestGeneratorInput[gender],MATCH(Passenger_PNR[[#This Row],[rowNumber]],ManifestGeneratorInput[RowNo.],0)))</calculatedColumnFormula>
    </tableColumn>
    <tableColumn id="448" name="nationality" dataDxfId="62">
      <calculatedColumnFormula>IF(ISBLANK(INDEX(ManifestGeneratorInput[nationality],MATCH(Passenger_PNR[[#This Row],[rowNumber]],ManifestGeneratorInput[RowNo.],0))),"Null~Value",INDEX(ManifestGeneratorInput[nationality],MATCH(Passenger_PNR[[#This Row],[rowNumber]],ManifestGeneratorInput[RowNo.],0)))</calculatedColumnFormula>
    </tableColumn>
    <tableColumn id="456" name="documentTypePrimary" dataDxfId="61">
      <calculatedColumnFormula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calculatedColumnFormula>
    </tableColumn>
    <tableColumn id="7" name="documentIssuanceCountryPrimary" dataDxfId="60">
      <calculatedColumnFormula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calculatedColumnFormula>
    </tableColumn>
    <tableColumn id="183" name="documentNumberPrimary" dataDxfId="59">
      <calculatedColumnFormula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calculatedColumnFormula>
    </tableColumn>
    <tableColumn id="198" name="documentExpirationPrimary" dataDxfId="58">
      <calculatedColumnFormula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calculatedColumnFormula>
    </tableColumn>
    <tableColumn id="4" name="documentTypeSecondary" dataDxfId="57">
      <calculatedColumnFormula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calculatedColumnFormula>
    </tableColumn>
    <tableColumn id="186" name="documentIssuanceCountrySecondary" dataDxfId="56">
      <calculatedColumnFormula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calculatedColumnFormula>
    </tableColumn>
    <tableColumn id="193" name="documentNumberSecondary" dataDxfId="55">
      <calculatedColumnFormula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calculatedColumnFormula>
    </tableColumn>
    <tableColumn id="191" name="documentExpirationDateSecondary" dataDxfId="54">
      <calculatedColumnFormula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calculatedColumnFormula>
    </tableColumn>
    <tableColumn id="340" name="embarkation" dataDxfId="53">
      <calculatedColumnFormula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calculatedColumnFormula>
    </tableColumn>
    <tableColumn id="341" name="debarkation" dataDxfId="52">
      <calculatedColumnFormula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calculatedColumnFormula>
    </tableColumn>
    <tableColumn id="6" name="pnrRecordLocatorNumber" dataDxfId="51">
      <calculatedColumnFormula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calculatedColumnFormula>
    </tableColumn>
    <tableColumn id="214" name="NAD+" dataDxfId="50">
      <calculatedColumnFormula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calculatedColumnFormula>
    </tableColumn>
    <tableColumn id="215" name="ATT+2++" dataDxfId="49">
      <calculatedColumnFormula>IF(Passenger_PNR[[#This Row],[gender]]="Null~Value","",CONCATENATE(CHAR(10),"ATT+2++",Passenger_PNR[[#This Row],[gender]],"'"))</calculatedColumnFormula>
    </tableColumn>
    <tableColumn id="50" name="DTM+329:" dataDxfId="48">
      <calculatedColumnFormula>IF(Passenger_PNR[[#This Row],[dateOfBIrth]]="Null~Value","",CONCATENATE(CHAR(10),"DTM+329:",TEXT(Passenger_PNR[[#This Row],[dateOfBIrth]],"yymmdd"),"'"))</calculatedColumnFormula>
    </tableColumn>
    <tableColumn id="91" name="LOC+178+" dataDxfId="47">
      <calculatedColumnFormula>IF(Passenger_PNR[[#This Row],[embarkation]]="Null~Value","",CONCATENATE(CHAR(10),"LOC+178+",Passenger_PNR[[#This Row],[embarkation]],"'"))</calculatedColumnFormula>
    </tableColumn>
    <tableColumn id="114" name="LOC+179+" dataDxfId="46">
      <calculatedColumnFormula>IF(Passenger_PNR[[#This Row],[debarkation]]="Null~Value","",CONCATENATE(CHAR(10),"LOC+179+",Passenger_PNR[[#This Row],[debarkation]],"'"))</calculatedColumnFormula>
    </tableColumn>
    <tableColumn id="115" name="NAT+2+" dataDxfId="45">
      <calculatedColumnFormula>IF(Passenger_PNR[[#This Row],[nationality]]="Null~Value","",CONCATENATE(CHAR(10),"NAT+2+",Passenger_PNR[[#This Row],[nationality]],"'"))</calculatedColumnFormula>
    </tableColumn>
    <tableColumn id="116" name="DOC+" dataDxfId="44">
      <calculatedColumnFormula>CONCATENATE(CHAR(10),"DOC+",Passenger_PNR[[#This Row],[documentTypePrimary]],"+",Passenger_PNR[[#This Row],[documentNumberPrimary]],"'")</calculatedColumnFormula>
    </tableColumn>
    <tableColumn id="205" name="DTM+36:" dataDxfId="43">
      <calculatedColumnFormula>CONCATENATE(CHAR(10),"DTM+36:",TEXT(Passenger_PNR[[#This Row],[documentExpirationPrimary]],"yymmdd"),"'")</calculatedColumnFormula>
    </tableColumn>
    <tableColumn id="210" name="LOC+91" dataDxfId="42">
      <calculatedColumnFormula>CONCATENATE(CHAR(10),"LOC+91","+",Passenger_PNR[[#This Row],[documentIssuanceCountryPrimary]],"'")</calculatedColumnFormula>
    </tableColumn>
    <tableColumn id="204" name="DOC+2" dataDxfId="41">
      <calculatedColumnFormula>IF(Passenger_PNR[[#This Row],[documentTypeSecondary]]="Null~Value","",CONCATENATE(CHAR(10),"DOC+",Passenger_PNR[[#This Row],[documentTypeSecondary]],"+",Passenger_PNR[[#This Row],[documentNumberSecondary]],"'"))</calculatedColumnFormula>
    </tableColumn>
    <tableColumn id="209" name="DTM+36:2" dataDxfId="40">
      <calculatedColumnFormula>IF(Passenger_PNR[[#This Row],[documentExpirationDateSecondary]]="Null~Value","",CONCATENATE(CHAR(10),"DTM+36:",TEXT(Passenger_PNR[[#This Row],[documentExpirationDateSecondary]],"yymmdd"),"'"))</calculatedColumnFormula>
    </tableColumn>
    <tableColumn id="211" name="LOC+91.2" dataDxfId="39">
      <calculatedColumnFormula>IF(Passenger_PNR[[#This Row],[documentIssuanceCountrySecondary]]="Null~Value","",CONCATENATE(CHAR(10),"LOC+91+",Passenger_PNR[[#This Row],[documentIssuanceCountrySecondary]],"'"))</calculatedColumnFormula>
    </tableColumn>
    <tableColumn id="218" name="LOC+174+" dataDxfId="38">
      <calculatedColumnFormula>CONCATENATE(CHAR(10),"LOC+174+",Passenger_PNR[[#This Row],[nationality]],"'")</calculatedColumnFormula>
    </tableColumn>
    <tableColumn id="257" name="PNR Record Locator" dataDxfId="37">
      <calculatedColumnFormula>IF(Passenger_PNR[[#This Row],[pnrRecordLocatorNumber]]="Null~Value","",CONCATENATE(CHAR(10),"RFF+AVF:",Passenger_PNR[[#This Row],[pnrRecordLocatorNumber]],"'"))</calculatedColumnFormula>
    </tableColumn>
    <tableColumn id="261" name="Entity Match" dataDxfId="36">
      <calculatedColumnFormula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calculatedColumnFormula>
    </tableColumn>
    <tableColumn id="258" name="ABO Code" dataDxfId="35">
      <calculatedColumnFormula>CONCATENATE("RFF+ABO:",LEFT(Passenger_PNR[[#This Row],[PassengerTVLHash]],6),"'",CHAR(10))</calculatedColumnFormula>
    </tableColumn>
    <tableColumn id="259" name="PassengerTVLHash" dataDxfId="34">
      <calculatedColumnFormula>hash12(CONCATENATE(Passenger_PNR[[#This Row],[Entity Match]],Home!$C$124))</calculatedColumnFormula>
    </tableColumn>
    <tableColumn id="2" name="seatAssignment" dataDxfId="33">
      <calculatedColumnFormula>IF(ISBLANK(INDEX(ManifestGeneratorInput[seatAssignment],MATCH(Passenger_PNR[[#This Row],[rowNumber]],ManifestGeneratorInput[RowNo.],0))),"Null~Value",INDEX(ManifestGeneratorInput[seatAssignment],MATCH(Passenger_PNR[[#This Row],[rowNumber]],ManifestGeneratorInput[RowNo.],0)))</calculatedColumnFormula>
    </tableColumn>
    <tableColumn id="262" name="RFF+SEA:" dataDxfId="32">
      <calculatedColumnFormula>IF(Passenger_PNR[[#This Row],[seatAssignment]]="Null~Value","",CONCATENATE(CHAR(10),"RFF+SEA:",Passenger_PNR[[#This Row],[seatAssignment]],"'"))</calculatedColumnFormula>
    </tableColumn>
    <tableColumn id="263" name="CC" dataDxfId="31">
      <calculatedColumnFormula>Home!$C$66</calculatedColumnFormula>
    </tableColumn>
    <tableColumn id="441" name="bagCount" dataDxfId="30">
      <calculatedColumnFormula>IF(ISBLANK(INDEX(ManifestGeneratorInput[bagCount],MATCH(Passenger_PNR[[#This Row],[rowNumber]],ManifestGeneratorInput[RowNo.],0))),"Null~Value",INDEX(ManifestGeneratorInput[bagCount],MATCH(Passenger_PNR[[#This Row],[rowNumber]],ManifestGeneratorInput[RowNo.],0)))</calculatedColumnFormula>
    </tableColumn>
    <tableColumn id="333" name="combinedBagWeight(kg)" dataDxfId="29">
      <calculatedColumnFormula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calculatedColumnFormula>
    </tableColumn>
    <tableColumn id="377" name="bagCount2" dataDxfId="28">
      <calculatedColumnFormula>IF(Passenger_PNR[[#This Row],[bagCount]]="Null~Value","",CONCATENATE(CHAR(10),"MEA+CT++",Passenger_PNR[[#This Row],[bagCount]],"'"))</calculatedColumnFormula>
    </tableColumn>
    <tableColumn id="376" name="bagWeight" dataDxfId="27">
      <calculatedColumnFormula>IF(Passenger_PNR[[#This Row],[combinedBagWeight(kg)]]="Null~Value","",CONCATENATE(CHAR(10),"MEA+WT++",Home!$C$93,":",Passenger_PNR[[#This Row],[combinedBagWeight(kg)]],"'"))</calculatedColumnFormula>
    </tableColumn>
    <tableColumn id="370" name="Attach Header" dataDxfId="26">
      <calculatedColumnFormula>IF(1=Passenger_PNR[[#This Row],[rowNumber]],Home!$C$122,"")</calculatedColumnFormula>
    </tableColumn>
    <tableColumn id="384" name="Attach Footer" dataDxfId="25">
      <calculatedColumnFormula>IF(MAX(Passenger_PNR[rowNumber])=Passenger_PNR[[#This Row],[rowNumber]],Home!$C$133,"")</calculatedColumnFormula>
    </tableColumn>
    <tableColumn id="385" name="Contents" dataDxfId="24">
      <calculatedColumnFormula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calculatedColumnFormula>
    </tableColumn>
    <tableColumn id="417" name="pr" dataDxfId="23">
      <calculatedColumnFormula>CONCATENATE("NAD+ZZZ'",Passenger_PNR[[#This Row],[PNR Record Locator]],Passenger_PNR[[#This Row],[ABO Code]])</calculatedColumnFormula>
    </tableColumn>
    <tableColumn id="418" name="clobHeader" dataDxfId="22">
      <calculatedColumnFormula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calculatedColumnFormula>
    </tableColumn>
    <tableColumn id="419" name="clobFooter" dataDxfId="21">
      <calculatedColumnFormula>IF(Passenger_PNR[[#This Row],[rowNumber]]=MAX(Passenger_PNR[rowNumber]),CONCATENATE("CNT+42:7’
UNT+31+5755176'
UNE+1+1'
UNZ+1+0000001’"),"")</calculatedColumnFormula>
    </tableColumn>
    <tableColumn id="378" name="PNRrecordLocatorManifestGenerator" dataDxfId="20">
      <calculatedColumnFormula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calculatedColumnFormula>
    </tableColumn>
    <tableColumn id="422" name="segmentCount" dataDxfId="19">
      <calculatedColumnFormula>LEN(Passenger_PNR[[#This Row],[Contents]])-LEN(SUBSTITUTE(Passenger_PNR[[#This Row],[Contents]],"'",""))</calculatedColumnFormula>
    </tableColumn>
    <tableColumn id="423" name="sumtotal" dataDxfId="18">
      <calculatedColumnFormula>SUMIFS(Passenger_PNR[segmentCount],Passenger_PNR[rowNumber],"&lt;="&amp;Passenger_PNR[[#This Row],[rowNumber]])</calculatedColumnFormula>
    </tableColumn>
    <tableColumn id="424" name="Column5" dataDxfId="17">
      <calculatedColumnFormula>MOD(Passenger_PNR[[#This Row],[sumtotal]],configSettings!$B$22)</calculatedColumnFormula>
    </tableColumn>
    <tableColumn id="425" name="apisMessageHeader" dataDxfId="16">
      <calculatedColumnFormula>IF(OFFSET(Passenger_PNR[[#This Row],[Column5]],-1,0)&gt;Passenger_PNR[[#This Row],[Column5]],1,0)</calculatedColumnFormula>
    </tableColumn>
    <tableColumn id="427" name="apisMessageFooter" dataDxfId="15">
      <calculatedColumnFormula>IF(Passenger_PNR[[#This Row],[rowNumber]]=MAX(Passenger_PNR[rowNumber]),1,IF(OFFSET(Passenger_PNR[[#This Row],[apisMessageGroup]],1,0)&gt;Passenger_PNR[[#This Row],[apisMessageGroup]],1,0))</calculatedColumnFormula>
    </tableColumn>
    <tableColumn id="426" name="apisMessageGroup" dataDxfId="14">
      <calculatedColumnFormula>SUMIFS(Passenger_PNR[apisMessageHeader],Passenger_PNR[rowNumber],"&lt;="&amp;Passenger_PNR[[#This Row],[rowNumber]])</calculatedColumnFormula>
    </tableColumn>
    <tableColumn id="447" name="passengersOnApis" dataDxfId="13">
      <calculatedColumnFormula>COUNTIFS(Passenger_PNR[apisMessageGroup],"="&amp;Passenger_PNR[[#This Row],[apisMessageGroup]])</calculatedColumnFormula>
    </tableColumn>
    <tableColumn id="431" name="APISmessageBeforeSub" dataDxfId="12">
      <calculatedColumnFormula>CONCATENATE(Passenger_PNR[[#This Row],[newHeader2]],Passenger_PNR[[#This Row],[newContents]],Passenger_PNR[[#This Row],[newFooter2]])</calculatedColumnFormula>
    </tableColumn>
    <tableColumn id="428" name="newContents" dataDxfId="11">
      <calculatedColumnFormula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calculatedColumnFormula>
    </tableColumn>
    <tableColumn id="429" name="newHeader2" dataDxfId="10">
      <calculatedColumnFormula>IF(Passenger_PNR[[#This Row],[apisMessageHeader]]=1,Home!$C$122,"")</calculatedColumnFormula>
    </tableColumn>
    <tableColumn id="430" name="newFooter2" dataDxfId="9">
      <calculatedColumnFormula>IF(Passenger_PNR[[#This Row],[apisMessageFooter]]=1,Home!$C$133,"")</calculatedColumnFormula>
    </tableColumn>
    <tableColumn id="268" name="RawSingleApis" dataDxfId="8">
      <calculatedColumnFormula>SUBSTITUTE(CONCATENATE(Passenger_PNR[[#This Row],[Attach Header]],Passenger_PNR[[#This Row],[Contents]],Passenger_PNR[[#This Row],[Attach Footer]]),"NULL~VALUE","")</calculatedColumnFormula>
    </tableColumn>
    <tableColumn id="346" name="RawSingleApisCharRep1" dataDxfId="7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calculatedColumnFormula>
    </tableColumn>
    <tableColumn id="435" name="RawSingleApisCharRep2" dataDxfId="6">
      <calculatedColumnFormula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calculatedColumnFormula>
    </tableColumn>
    <tableColumn id="437" name="RawIndividualApis" dataDxfId="5">
      <calculatedColumnFormula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calculatedColumnFormula>
    </tableColumn>
    <tableColumn id="438" name="RawIndividualApisCharRep1" dataDxfId="4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calculatedColumnFormula>
    </tableColumn>
    <tableColumn id="442" name="RawIndividualApisCharRep2" dataDxfId="3">
      <calculatedColumnFormula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4" name="Airport_Country" displayName="Airport_Country" ref="A1:B8108" totalsRowShown="0">
  <autoFilter ref="A1:B8108"/>
  <tableColumns count="2">
    <tableColumn id="1" name="Airport"/>
    <tableColumn id="2" name="Countr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MessageType" displayName="MessageType" ref="A1:D6" totalsRowShown="0">
  <autoFilter ref="A1:D6"/>
  <tableColumns count="4">
    <tableColumn id="1" name="MessageType"/>
    <tableColumn id="4" name="PAX_Type"/>
    <tableColumn id="2" name="MessageTypeCode"/>
    <tableColumn id="3" name="CNT_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PAX_Type2" displayName="PAX_Type2" ref="A1:B5" totalsRowShown="0">
  <autoFilter ref="A1:B5"/>
  <tableColumns count="2">
    <tableColumn id="1" name="Type"/>
    <tableColumn id="2" name="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Flight_Direction" displayName="Flight_Direction" ref="A1:B4" totalsRowShown="0">
  <autoFilter ref="A1:B4"/>
  <tableColumns count="2">
    <tableColumn id="1" name="TSCQ"/>
    <tableColumn id="2" name="TSCQ 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9" name="Table59" displayName="Table59" ref="A1:D3" totalsRowShown="0">
  <autoFilter ref="A1:D3"/>
  <tableColumns count="4">
    <tableColumn id="1" name="ID"/>
    <tableColumn id="2" name="UNAcodeset"/>
    <tableColumn id="3" name="Type"/>
    <tableColumn id="4" name="String">
      <calculatedColumnFormula>IF(Table59[[#This Row],[Type]]="Standard","",CONCATENATE("UNA",Table59[[#This Row],[UNAcodeset]]))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UNBpushes" displayName="UNBpushes" ref="A1:F6" totalsRowShown="0">
  <autoFilter ref="A1:F6"/>
  <tableColumns count="6">
    <tableColumn id="1" name="chronologicalPush"/>
    <tableColumn id="2" name="pushDescription" dataDxfId="2"/>
    <tableColumn id="3" name="pushNumber"/>
    <tableColumn id="5" name="pushAdjustment"/>
    <tableColumn id="4" name="pushAdjustmentValue" dataDxfId="1">
      <calculatedColumnFormula>-UNBpushes[[#This Row],[pushAdjustment]]/24</calculatedColumnFormula>
    </tableColumn>
    <tableColumn id="6" name="tag" dataDxfId="0">
      <calculatedColumnFormula>IF(UNBpushes[[#This Row],[pushAdjustment]]&lt;&gt;0,CONCATENATE("t-",TEXT(UNBpushes[[#This Row],[pushAdjustment]],"00"),"hours"),"Wheels-Up")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9111"/>
  <dimension ref="B1:I137"/>
  <sheetViews>
    <sheetView tabSelected="1" topLeftCell="A16" zoomScale="85" zoomScaleNormal="85" workbookViewId="0">
      <selection activeCell="I26" sqref="I26"/>
    </sheetView>
  </sheetViews>
  <sheetFormatPr defaultColWidth="8.77734375" defaultRowHeight="14.4" x14ac:dyDescent="0.3"/>
  <cols>
    <col min="1" max="1" width="2.44140625" customWidth="1"/>
    <col min="2" max="2" width="34.33203125" customWidth="1"/>
    <col min="3" max="3" width="27.88671875" customWidth="1"/>
    <col min="4" max="4" width="6.33203125" customWidth="1"/>
    <col min="5" max="5" width="35.109375" bestFit="1" customWidth="1"/>
    <col min="6" max="6" width="5.109375" customWidth="1"/>
    <col min="7" max="7" width="4.77734375" customWidth="1"/>
    <col min="8" max="8" width="20.109375" customWidth="1"/>
  </cols>
  <sheetData>
    <row r="1" spans="2:5" ht="18" x14ac:dyDescent="0.3">
      <c r="B1" s="48" t="s">
        <v>6146</v>
      </c>
      <c r="C1" s="49" t="s">
        <v>6322</v>
      </c>
    </row>
    <row r="3" spans="2:5" ht="21" customHeight="1" x14ac:dyDescent="0.3">
      <c r="B3" s="42" t="s">
        <v>6143</v>
      </c>
      <c r="C3" s="11" t="s">
        <v>254</v>
      </c>
    </row>
    <row r="4" spans="2:5" ht="21" x14ac:dyDescent="0.3">
      <c r="B4" s="42" t="s">
        <v>6150</v>
      </c>
      <c r="C4" s="36">
        <v>1</v>
      </c>
    </row>
    <row r="5" spans="2:5" ht="21" x14ac:dyDescent="0.3">
      <c r="B5" s="42" t="s">
        <v>6144</v>
      </c>
      <c r="C5" s="36">
        <v>0</v>
      </c>
    </row>
    <row r="6" spans="2:5" ht="21" x14ac:dyDescent="0.3">
      <c r="B6" s="43" t="s">
        <v>6153</v>
      </c>
      <c r="C6" s="38">
        <v>255</v>
      </c>
    </row>
    <row r="7" spans="2:5" x14ac:dyDescent="0.3">
      <c r="B7" s="41"/>
    </row>
    <row r="8" spans="2:5" x14ac:dyDescent="0.3">
      <c r="B8" s="42" t="s">
        <v>6206</v>
      </c>
      <c r="E8" s="9" t="str">
        <f>IF(C47=C48,"","Please click, 'Update Passengers'")</f>
        <v/>
      </c>
    </row>
    <row r="9" spans="2:5" x14ac:dyDescent="0.3">
      <c r="B9" s="42"/>
    </row>
    <row r="10" spans="2:5" x14ac:dyDescent="0.3">
      <c r="B10" s="41"/>
      <c r="E10" s="45"/>
    </row>
    <row r="11" spans="2:5" x14ac:dyDescent="0.3">
      <c r="B11" s="41"/>
      <c r="E11" s="45"/>
    </row>
    <row r="12" spans="2:5" ht="18" x14ac:dyDescent="0.35">
      <c r="B12" s="60" t="s">
        <v>6149</v>
      </c>
      <c r="C12" s="59"/>
    </row>
    <row r="13" spans="2:5" x14ac:dyDescent="0.3">
      <c r="B13" s="52" t="s">
        <v>6167</v>
      </c>
      <c r="C13" s="53"/>
    </row>
    <row r="14" spans="2:5" x14ac:dyDescent="0.3">
      <c r="B14" s="52" t="s">
        <v>6168</v>
      </c>
      <c r="C14" s="53" t="str">
        <f>CONCATENATE(IF($C$3="Manifest Generator Output",COUNTA(ManifestGeneratorInput[lastName]),Home!$C$6)," Passenger(s)")</f>
        <v>10 Passenger(s)</v>
      </c>
    </row>
    <row r="15" spans="2:5" x14ac:dyDescent="0.3">
      <c r="B15" s="52" t="s">
        <v>6169</v>
      </c>
      <c r="C15" s="53"/>
    </row>
    <row r="16" spans="2:5" x14ac:dyDescent="0.3">
      <c r="B16" s="52" t="s">
        <v>6157</v>
      </c>
      <c r="C16" s="53" t="str">
        <f>INDEX(CannedFlights[Flight Name],MATCH(Home!$C$4,CannedFlights[Unique_ID],0))</f>
        <v>YY123</v>
      </c>
    </row>
    <row r="17" spans="2:5" x14ac:dyDescent="0.3">
      <c r="B17" s="52" t="s">
        <v>6163</v>
      </c>
      <c r="C17" s="53" t="str">
        <f>IF(AND($C$60=configSettings!$B$13,$C$58&lt;&gt;configSettings!$B$13),"Inbound",IF(AND($C$58=configSettings!$B$13,C60&lt;&gt;configSettings!$B$13),"Outbound",IF(AND($C$60=configSettings!$B$13,$C$58=configSettings!$B$13),"Domestic","Foreign-to-Foreign")))</f>
        <v>Foreign-to-Foreign</v>
      </c>
    </row>
    <row r="18" spans="2:5" ht="24.6" x14ac:dyDescent="0.3">
      <c r="B18" s="52" t="s">
        <v>6158</v>
      </c>
      <c r="C18" s="54" t="str">
        <f ca="1">UPPER(CONCATENATE($C$57," ",TEXT($C$61,"MMM-dd hhmm"),CHAR(10),$C$59," ",TEXT($C$62,"mmm-dd hhmm")))</f>
        <v>IAD AUG-02 1200
BRU AUG-03 1322</v>
      </c>
    </row>
    <row r="19" spans="2:5" ht="25.2" x14ac:dyDescent="0.3">
      <c r="B19" s="55" t="s">
        <v>6159</v>
      </c>
      <c r="C19" s="56" t="str">
        <f ca="1">UPPER(CONCATENATE($C$57," ",TEXT($C$63,"MMM-dd hhmm"),CHAR(10),$C$59," ",TEXT($C$64,"mmm-dd hhmm")))</f>
        <v>IAD AUG-02 1700
BRU AUG-03 1222</v>
      </c>
    </row>
    <row r="20" spans="2:5" x14ac:dyDescent="0.3">
      <c r="B20" s="55" t="s">
        <v>6220</v>
      </c>
      <c r="C20" s="71">
        <f ca="1">C64-C63</f>
        <v>0.80694444444088731</v>
      </c>
    </row>
    <row r="21" spans="2:5" x14ac:dyDescent="0.3">
      <c r="B21" s="52" t="s">
        <v>6162</v>
      </c>
      <c r="C21" s="53"/>
    </row>
    <row r="22" spans="2:5" x14ac:dyDescent="0.3">
      <c r="B22" s="52" t="s">
        <v>6207</v>
      </c>
      <c r="C22" s="53"/>
    </row>
    <row r="23" spans="2:5" x14ac:dyDescent="0.3">
      <c r="B23" s="57" t="s">
        <v>6182</v>
      </c>
      <c r="C23" s="58">
        <f ca="1">MAX(Passenger_PNR[apisMessageGroup])</f>
        <v>3</v>
      </c>
    </row>
    <row r="24" spans="2:5" x14ac:dyDescent="0.3">
      <c r="B24" s="50"/>
      <c r="C24" s="1"/>
    </row>
    <row r="27" spans="2:5" x14ac:dyDescent="0.3">
      <c r="E27" s="45"/>
    </row>
    <row r="31" spans="2:5" ht="18" x14ac:dyDescent="0.3">
      <c r="B31" s="48" t="s">
        <v>6181</v>
      </c>
      <c r="C31" s="49"/>
    </row>
    <row r="33" spans="2:3" x14ac:dyDescent="0.3">
      <c r="B33" t="str">
        <f ca="1">CONCATENATE("Generate ",$C$23," Separate Messages")</f>
        <v>Generate 3 Separate Messages</v>
      </c>
    </row>
    <row r="35" spans="2:3" x14ac:dyDescent="0.3">
      <c r="B35" t="s">
        <v>6180</v>
      </c>
    </row>
    <row r="37" spans="2:3" ht="18" x14ac:dyDescent="0.3">
      <c r="B37" s="48" t="s">
        <v>6183</v>
      </c>
      <c r="C37" s="49"/>
    </row>
    <row r="45" spans="2:3" ht="18" x14ac:dyDescent="0.3">
      <c r="B45" s="48" t="s">
        <v>6151</v>
      </c>
      <c r="C45" s="49"/>
    </row>
    <row r="47" spans="2:3" x14ac:dyDescent="0.3">
      <c r="B47" s="41" t="s">
        <v>6154</v>
      </c>
      <c r="C47" s="1">
        <f>IF($C$3="Manifest Generator Output",COUNTA(ManifestGeneratorInput[lastName]),Home!$C$6)</f>
        <v>10</v>
      </c>
    </row>
    <row r="48" spans="2:3" x14ac:dyDescent="0.3">
      <c r="B48" s="41" t="s">
        <v>6155</v>
      </c>
      <c r="C48" s="1">
        <f>COUNTA(Passenger_PNR[rowNumber])</f>
        <v>10</v>
      </c>
    </row>
    <row r="49" spans="2:9" x14ac:dyDescent="0.3">
      <c r="B49" s="41" t="s">
        <v>6217</v>
      </c>
      <c r="C49" s="1"/>
    </row>
    <row r="50" spans="2:9" x14ac:dyDescent="0.3">
      <c r="B50" s="41" t="s">
        <v>6110</v>
      </c>
      <c r="C50" s="1"/>
    </row>
    <row r="51" spans="2:9" x14ac:dyDescent="0.3">
      <c r="B51" s="41" t="s">
        <v>6216</v>
      </c>
      <c r="C51" s="1"/>
    </row>
    <row r="52" spans="2:9" x14ac:dyDescent="0.3">
      <c r="B52" s="41" t="s">
        <v>6223</v>
      </c>
      <c r="C52" s="1" t="b">
        <f>IF(IFERROR($C$12,FALSE)=0,TRUE,FALSE)</f>
        <v>1</v>
      </c>
    </row>
    <row r="53" spans="2:9" x14ac:dyDescent="0.3">
      <c r="B53" s="41" t="s">
        <v>6266</v>
      </c>
      <c r="C53" s="1" t="b">
        <f>IF(MAX(ManifestGeneratorInput[OrderOnPNR])&lt;=8,TRUE,FALSE)</f>
        <v>1</v>
      </c>
    </row>
    <row r="55" spans="2:9" ht="18" x14ac:dyDescent="0.35">
      <c r="B55" s="60" t="s">
        <v>6156</v>
      </c>
      <c r="C55" s="59"/>
      <c r="I55" s="41"/>
    </row>
    <row r="56" spans="2:9" x14ac:dyDescent="0.3">
      <c r="B56" s="61"/>
      <c r="C56" s="62"/>
      <c r="I56" s="41"/>
    </row>
    <row r="57" spans="2:9" x14ac:dyDescent="0.3">
      <c r="B57" s="63" t="s">
        <v>84</v>
      </c>
      <c r="C57" s="62" t="str">
        <f>INDEX(CannedFlights[Departure Airport],MATCH(Home!$C$4,CannedFlights[Unique_ID],0))</f>
        <v>IAD</v>
      </c>
    </row>
    <row r="58" spans="2:9" x14ac:dyDescent="0.3">
      <c r="B58" s="63" t="s">
        <v>6164</v>
      </c>
      <c r="C58" s="62" t="str">
        <f>INDEX(Airport_Country[Country],MATCH($C$57,Airport_Country[Airport],0))</f>
        <v>USA</v>
      </c>
    </row>
    <row r="59" spans="2:9" x14ac:dyDescent="0.3">
      <c r="B59" s="63" t="s">
        <v>85</v>
      </c>
      <c r="C59" s="62" t="str">
        <f>INDEX(CannedFlights[Arrival Airport],MATCH(Home!$C$4,CannedFlights[Unique_ID],0))</f>
        <v>BRU</v>
      </c>
    </row>
    <row r="60" spans="2:9" x14ac:dyDescent="0.3">
      <c r="B60" s="63" t="s">
        <v>6165</v>
      </c>
      <c r="C60" s="62" t="str">
        <f>INDEX(Airport_Country[Country],MATCH($C$59,Airport_Country[Airport],0))</f>
        <v>BEL</v>
      </c>
    </row>
    <row r="61" spans="2:9" x14ac:dyDescent="0.3">
      <c r="B61" s="63" t="s">
        <v>16</v>
      </c>
      <c r="C61" s="64">
        <f ca="1">INDEX(CannedFlights[Departure Time],MATCH(Home!$C$4,CannedFlights[Unique_ID],0))+TODAY()+$C$5</f>
        <v>43679.5</v>
      </c>
    </row>
    <row r="62" spans="2:9" x14ac:dyDescent="0.3">
      <c r="B62" s="63" t="s">
        <v>15</v>
      </c>
      <c r="C62" s="64">
        <f ca="1">INDEX(CannedFlights[Arrival Time],MATCH(Home!$C$4,CannedFlights[Unique_ID],0))+TODAY()+$C$5+INDEX(CannedFlights[ArrivalAdjustment],MATCH(Home!$C$4,CannedFlights[Unique_ID],0))</f>
        <v>43680.556944444441</v>
      </c>
    </row>
    <row r="63" spans="2:9" x14ac:dyDescent="0.3">
      <c r="B63" s="63" t="s">
        <v>6160</v>
      </c>
      <c r="C63" s="64">
        <f ca="1">$C$61-INDEX(Table18[gmtOffsetValue],MATCH($C$57,Table18[iataAirportCode],0))</f>
        <v>43679.708333333336</v>
      </c>
    </row>
    <row r="64" spans="2:9" x14ac:dyDescent="0.3">
      <c r="B64" s="63" t="s">
        <v>6161</v>
      </c>
      <c r="C64" s="64">
        <f ca="1">$C$62-INDEX(Table18[gmtOffsetValue],MATCH($C$59,Table18[iataAirportCode],0))</f>
        <v>43680.515277777777</v>
      </c>
    </row>
    <row r="65" spans="2:3" x14ac:dyDescent="0.3">
      <c r="B65" s="63" t="s">
        <v>6221</v>
      </c>
      <c r="C65" s="62" t="str">
        <f>IFERROR(INDEX(Table60[carrierName],MATCH(Home!C66,Table60[IATA],0)),"Lufthansa")</f>
        <v>SAMPLE CARRIER NAME</v>
      </c>
    </row>
    <row r="66" spans="2:3" x14ac:dyDescent="0.3">
      <c r="B66" s="63" t="s">
        <v>6222</v>
      </c>
      <c r="C66" s="62" t="str">
        <f>INDEX(CannedFlights[Operating Carrier],MATCH(Home!$C$4,CannedFlights[Unique_ID],0))</f>
        <v>YY</v>
      </c>
    </row>
    <row r="67" spans="2:3" x14ac:dyDescent="0.3">
      <c r="B67" s="63" t="s">
        <v>6157</v>
      </c>
      <c r="C67" s="65" t="str">
        <f>INDEX(CannedFlights[Op Flight No.],MATCH(Home!$C$4,CannedFlights[Unique_ID],0))</f>
        <v>123</v>
      </c>
    </row>
    <row r="68" spans="2:3" x14ac:dyDescent="0.3">
      <c r="B68" s="63" t="s">
        <v>6186</v>
      </c>
      <c r="C68" s="62" t="str">
        <f>CONCATENATE(C66,TEXT(C67,"0000"))</f>
        <v>YY0123</v>
      </c>
    </row>
    <row r="69" spans="2:3" x14ac:dyDescent="0.3">
      <c r="B69" s="63" t="s">
        <v>6176</v>
      </c>
      <c r="C69" s="65">
        <f>INDEX(UNBpushes[chronologicalPush],MATCH($C$89,UNBpushes[pushDescription],0))</f>
        <v>5</v>
      </c>
    </row>
    <row r="70" spans="2:3" x14ac:dyDescent="0.3">
      <c r="B70" s="63" t="s">
        <v>6317</v>
      </c>
      <c r="C70" s="64">
        <f ca="1">INDEX(UNBpushes[pushAdjustmentValue],MATCH($C$69,UNBpushes[chronologicalPush],0))+$C$63</f>
        <v>43679.708333333336</v>
      </c>
    </row>
    <row r="71" spans="2:3" x14ac:dyDescent="0.3">
      <c r="B71" s="63" t="s">
        <v>6199</v>
      </c>
      <c r="C71" s="70" t="str">
        <f ca="1">TEXT($C$70,"ddmmyy:hhmm")</f>
        <v>020819:1700</v>
      </c>
    </row>
    <row r="72" spans="2:3" x14ac:dyDescent="0.3">
      <c r="B72" s="63" t="s">
        <v>6219</v>
      </c>
      <c r="C72" s="70" t="str">
        <f>TEXT(INDEX(UNBpushes[pushNumber],MATCH($C$69,UNBpushes[chronologicalPush],0)),"00")</f>
        <v>01</v>
      </c>
    </row>
    <row r="73" spans="2:3" x14ac:dyDescent="0.3">
      <c r="B73" s="66" t="s">
        <v>6218</v>
      </c>
      <c r="C73" s="67" t="str">
        <f ca="1">IF(ROUNDDOWN(C62,0)=ROUNDDOWN(C61,0),TEXT(C62-ROUNDDOWN(C62,0),"HHMM"),TEXT(C62,"ddmmyy:hhmm"))</f>
        <v>030819:1322</v>
      </c>
    </row>
    <row r="74" spans="2:3" x14ac:dyDescent="0.3">
      <c r="B74" s="63" t="s">
        <v>6318</v>
      </c>
      <c r="C74" s="10" t="str">
        <f ca="1">TEXT(INDEX(UNBpushes[pushAdjustmentValue],MATCH($C$69,UNBpushes[chronologicalPush],0))+$C$63,"yymmdd:hhmm")</f>
        <v>190802:1700</v>
      </c>
    </row>
    <row r="75" spans="2:3" x14ac:dyDescent="0.3">
      <c r="B75" s="41" t="s">
        <v>6319</v>
      </c>
      <c r="C75" s="10" t="str">
        <f ca="1">TEXT(NOW(),"yymmdd:hhmm")</f>
        <v>190802:1211</v>
      </c>
    </row>
    <row r="76" spans="2:3" x14ac:dyDescent="0.3">
      <c r="B76" s="41"/>
      <c r="C76" s="10"/>
    </row>
    <row r="77" spans="2:3" x14ac:dyDescent="0.3">
      <c r="B77" s="41"/>
      <c r="C77" s="10"/>
    </row>
    <row r="78" spans="2:3" x14ac:dyDescent="0.3">
      <c r="B78" s="41"/>
      <c r="C78" s="10"/>
    </row>
    <row r="79" spans="2:3" x14ac:dyDescent="0.3">
      <c r="B79" s="41"/>
      <c r="C79" s="10"/>
    </row>
    <row r="80" spans="2:3" x14ac:dyDescent="0.3">
      <c r="B80" s="41"/>
      <c r="C80" s="10"/>
    </row>
    <row r="81" spans="2:3" x14ac:dyDescent="0.3">
      <c r="B81" s="41"/>
      <c r="C81" s="10"/>
    </row>
    <row r="82" spans="2:3" x14ac:dyDescent="0.3">
      <c r="B82" s="41"/>
      <c r="C82" s="10"/>
    </row>
    <row r="83" spans="2:3" x14ac:dyDescent="0.3">
      <c r="B83" s="41"/>
      <c r="C83" s="10"/>
    </row>
    <row r="84" spans="2:3" x14ac:dyDescent="0.3">
      <c r="B84" s="41"/>
      <c r="C84" s="10"/>
    </row>
    <row r="85" spans="2:3" x14ac:dyDescent="0.3">
      <c r="B85" s="41"/>
      <c r="C85" s="10"/>
    </row>
    <row r="87" spans="2:3" ht="15.6" x14ac:dyDescent="0.3">
      <c r="B87" s="68" t="s">
        <v>6152</v>
      </c>
      <c r="C87" s="69" t="s">
        <v>269</v>
      </c>
    </row>
    <row r="88" spans="2:3" x14ac:dyDescent="0.3">
      <c r="C88" s="41"/>
    </row>
    <row r="89" spans="2:3" x14ac:dyDescent="0.3">
      <c r="B89" s="42" t="s">
        <v>6177</v>
      </c>
      <c r="C89" s="46" t="s">
        <v>269</v>
      </c>
    </row>
    <row r="90" spans="2:3" ht="15.6" x14ac:dyDescent="0.3">
      <c r="B90" s="42" t="s">
        <v>45</v>
      </c>
      <c r="C90" s="82" t="s">
        <v>56</v>
      </c>
    </row>
    <row r="91" spans="2:3" ht="18" x14ac:dyDescent="0.3">
      <c r="B91" s="42" t="s">
        <v>6173</v>
      </c>
      <c r="C91" s="81">
        <v>1</v>
      </c>
    </row>
    <row r="92" spans="2:3" ht="18" x14ac:dyDescent="0.3">
      <c r="B92" s="42" t="s">
        <v>6166</v>
      </c>
      <c r="C92" s="81">
        <v>388</v>
      </c>
    </row>
    <row r="93" spans="2:3" ht="18" x14ac:dyDescent="0.3">
      <c r="B93" s="42" t="s">
        <v>6208</v>
      </c>
      <c r="C93" s="81" t="s">
        <v>6115</v>
      </c>
    </row>
    <row r="95" spans="2:3" ht="18" x14ac:dyDescent="0.35">
      <c r="B95" s="60" t="s">
        <v>6172</v>
      </c>
      <c r="C95" s="59"/>
    </row>
    <row r="96" spans="2:3" x14ac:dyDescent="0.3">
      <c r="B96" s="61"/>
      <c r="C96" s="62"/>
    </row>
    <row r="97" spans="2:4" x14ac:dyDescent="0.3">
      <c r="B97" s="63" t="s">
        <v>50</v>
      </c>
      <c r="C97" s="62" t="str">
        <f>INDEX(Table59[String],MATCH(Home!C91,Table59[ID],0))</f>
        <v/>
      </c>
    </row>
    <row r="98" spans="2:4" x14ac:dyDescent="0.3">
      <c r="B98" s="63" t="s">
        <v>78</v>
      </c>
      <c r="C98" s="46" t="s">
        <v>6193</v>
      </c>
    </row>
    <row r="99" spans="2:4" x14ac:dyDescent="0.3">
      <c r="B99" s="63" t="s">
        <v>79</v>
      </c>
      <c r="C99" s="46">
        <v>4</v>
      </c>
    </row>
    <row r="100" spans="2:4" x14ac:dyDescent="0.3">
      <c r="B100" s="63" t="s">
        <v>80</v>
      </c>
      <c r="C100" s="62" t="str">
        <f>UPPER(C65)</f>
        <v>SAMPLE CARRIER NAME</v>
      </c>
    </row>
    <row r="101" spans="2:4" x14ac:dyDescent="0.3">
      <c r="B101" s="63" t="s">
        <v>81</v>
      </c>
      <c r="C101" s="46" t="s">
        <v>204</v>
      </c>
    </row>
    <row r="102" spans="2:4" x14ac:dyDescent="0.3">
      <c r="B102" s="63" t="s">
        <v>6321</v>
      </c>
      <c r="C102" s="46" t="s">
        <v>6194</v>
      </c>
    </row>
    <row r="103" spans="2:4" x14ac:dyDescent="0.3">
      <c r="B103" s="63" t="s">
        <v>82</v>
      </c>
      <c r="C103" s="46" t="s">
        <v>5</v>
      </c>
    </row>
    <row r="104" spans="2:4" x14ac:dyDescent="0.3">
      <c r="B104" s="63" t="s">
        <v>22</v>
      </c>
      <c r="C104" s="46" t="s">
        <v>204</v>
      </c>
    </row>
    <row r="105" spans="2:4" x14ac:dyDescent="0.3">
      <c r="B105" s="63" t="s">
        <v>6195</v>
      </c>
      <c r="C105" s="46">
        <v>123456789</v>
      </c>
    </row>
    <row r="106" spans="2:4" x14ac:dyDescent="0.3">
      <c r="B106" s="63" t="s">
        <v>45</v>
      </c>
      <c r="C106" s="65" t="s">
        <v>6196</v>
      </c>
    </row>
    <row r="107" spans="2:4" x14ac:dyDescent="0.3">
      <c r="B107" s="63" t="s">
        <v>6198</v>
      </c>
      <c r="C107" s="65" t="s">
        <v>6225</v>
      </c>
    </row>
    <row r="108" spans="2:4" x14ac:dyDescent="0.3">
      <c r="B108" s="63" t="s">
        <v>6197</v>
      </c>
      <c r="C108" s="62" t="s">
        <v>6226</v>
      </c>
    </row>
    <row r="109" spans="2:4" x14ac:dyDescent="0.3">
      <c r="B109" s="63" t="s">
        <v>44</v>
      </c>
      <c r="C109" s="62" t="str">
        <f ca="1">CONCATENATE("UNB+",$C$98,":",$C$99,"+",$C$100,":",$C$101,"+",$C$102,":",$C$104,"+",$C$74,"+",$C$105,"++",$C$107,"'")</f>
        <v>UNB+UNOA:4+SAMPLE CARRIER NAME:ZZ+HDQCH2X:ZZ+190802:1700+123456789++PAXLST'</v>
      </c>
      <c r="D109" s="40">
        <v>0</v>
      </c>
    </row>
    <row r="110" spans="2:4" x14ac:dyDescent="0.3">
      <c r="B110" s="63" t="s">
        <v>6200</v>
      </c>
      <c r="C110" s="46" t="s">
        <v>6202</v>
      </c>
    </row>
    <row r="111" spans="2:4" x14ac:dyDescent="0.3">
      <c r="B111" s="63" t="s">
        <v>83</v>
      </c>
      <c r="C111" s="62" t="s">
        <v>205</v>
      </c>
    </row>
    <row r="112" spans="2:4" x14ac:dyDescent="0.3">
      <c r="B112" s="63" t="s">
        <v>6201</v>
      </c>
      <c r="C112" s="62" t="s">
        <v>6174</v>
      </c>
    </row>
    <row r="113" spans="2:4" x14ac:dyDescent="0.3">
      <c r="B113" s="63" t="s">
        <v>52</v>
      </c>
      <c r="C113" s="62" t="str">
        <f>CONCATENATE("UNH+",$C$108,"+",$C$107,":",$C$103,":",$C$110,":",$C$111,":",$C$112,"'")</f>
        <v>UNH+53371718146010+PAXLST:D:02B:UN:IATA'</v>
      </c>
      <c r="D113" s="40">
        <v>0</v>
      </c>
    </row>
    <row r="114" spans="2:4" x14ac:dyDescent="0.3">
      <c r="B114" s="63" t="s">
        <v>54</v>
      </c>
      <c r="C114" s="62" t="str">
        <f>CONCATENATE("BGM+",INDEX(MessageType[MessageTypeCode],MATCH($C$90,MessageType[MessageType],0)),"'")</f>
        <v>BGM+745'</v>
      </c>
    </row>
    <row r="115" spans="2:4" x14ac:dyDescent="0.3">
      <c r="B115" s="63" t="s">
        <v>66</v>
      </c>
      <c r="C115" s="62" t="str">
        <f>CONCATENATE("NAD+MS+++",configSettings!$B$25," ",configSettings!$B$26,"'")</f>
        <v>NAD+MS+++WORLD CUSTOMS ORGANIZATION BRU'</v>
      </c>
      <c r="D115" s="40">
        <v>0</v>
      </c>
    </row>
    <row r="116" spans="2:4" x14ac:dyDescent="0.3">
      <c r="B116" s="63" t="s">
        <v>927</v>
      </c>
      <c r="C116" s="62" t="str">
        <f>CONCATENATE("COM+",configSettings!$B$27,":TE'")</f>
        <v>COM+17037919383:TE'</v>
      </c>
    </row>
    <row r="117" spans="2:4" x14ac:dyDescent="0.3">
      <c r="B117" s="63" t="s">
        <v>48</v>
      </c>
      <c r="C117" s="62" t="str">
        <f>CONCATENATE("TDT+20+",$C$66,$C$67,"'")</f>
        <v>TDT+20+YY123'</v>
      </c>
    </row>
    <row r="118" spans="2:4" x14ac:dyDescent="0.3">
      <c r="B118" s="63" t="s">
        <v>6189</v>
      </c>
      <c r="C118" s="62" t="str">
        <f>CONCATENATE("LOC+125+",C57,"'")</f>
        <v>LOC+125+IAD'</v>
      </c>
    </row>
    <row r="119" spans="2:4" x14ac:dyDescent="0.3">
      <c r="B119" s="63" t="s">
        <v>6190</v>
      </c>
      <c r="C119" s="62" t="str">
        <f ca="1">CONCATENATE("DTM+189:",TEXT($C$61,"yymmddhhmm"),":201","'")</f>
        <v>DTM+189:1908021200:201'</v>
      </c>
    </row>
    <row r="120" spans="2:4" x14ac:dyDescent="0.3">
      <c r="B120" s="63" t="s">
        <v>6191</v>
      </c>
      <c r="C120" s="62" t="str">
        <f>CONCATENATE("LOC+87+",C59,"'")</f>
        <v>LOC+87+BRU'</v>
      </c>
    </row>
    <row r="121" spans="2:4" x14ac:dyDescent="0.3">
      <c r="B121" s="63" t="s">
        <v>6192</v>
      </c>
      <c r="C121" s="62" t="str">
        <f ca="1">CONCATENATE("DTM+232:",TEXT(C62,"yymmddhhmm"),":201","'")</f>
        <v>DTM+232:1908031322:201'</v>
      </c>
    </row>
    <row r="122" spans="2:4" x14ac:dyDescent="0.3">
      <c r="B122" s="63" t="s">
        <v>6179</v>
      </c>
      <c r="C122" s="62" t="str">
        <f ca="1">CONCATENATE($C$97,$C$109,CHAR(10),$C$113,CHAR(10),$C$114,CHAR(10),$C$115,CHAR(10),$C$116,CHAR(10),$C$117,CHAR(10),$C$118,CHAR(10),$C$119,CHAR(10),$C$120,CHAR(10),$C$121,CHAR(10))</f>
        <v xml:space="preserve">UNB+UNOA:4+SAMPLE CARRIER NAME:ZZ+HDQCH2X:ZZ+190802:1700+123456789++PAXLST'
UNH+53371718146010+PAXLST:D:02B:UN:IATA'
BGM+745'
NAD+MS+++WORLD CUSTOMS ORGANIZATION BRU'
COM+17037919383:TE'
TDT+20+YY123'
LOC+125+IAD'
DTM+189:1908021200:201'
LOC+87+BRU'
DTM+232:1908031322:201'
</v>
      </c>
      <c r="D122" s="40">
        <v>0</v>
      </c>
    </row>
    <row r="123" spans="2:4" x14ac:dyDescent="0.3">
      <c r="B123" s="63" t="s">
        <v>6188</v>
      </c>
      <c r="C123" s="62" t="str">
        <f ca="1">CONCATENATE(TEXT(NOW(),"yyyymmdd hhmm"),"_API_",$C$124,"_",$C$66,$C$67,"_",$C$57,"_",$C$59,"_",TEXT($C$63,"yyyymmdd hhmm"))</f>
        <v>20190802 1211_API_20519_YY123_IAD_BRU_20190802 1700</v>
      </c>
      <c r="D123" s="40">
        <v>0</v>
      </c>
    </row>
    <row r="124" spans="2:4" x14ac:dyDescent="0.3">
      <c r="B124" s="63" t="s">
        <v>6187</v>
      </c>
      <c r="C124" s="62" t="str">
        <f ca="1">TEXT(myhash(C18),"00000")</f>
        <v>20519</v>
      </c>
    </row>
    <row r="125" spans="2:4" x14ac:dyDescent="0.3">
      <c r="B125" s="63" t="s">
        <v>6129</v>
      </c>
      <c r="C125" s="65">
        <f ca="1">LEN(C122)-LEN(SUBSTITUTE(C122,"'",""))</f>
        <v>10</v>
      </c>
    </row>
    <row r="126" spans="2:4" x14ac:dyDescent="0.3">
      <c r="B126" s="63" t="s">
        <v>6130</v>
      </c>
      <c r="C126" s="65">
        <f>LEN(C132)-LEN(SUBSTITUTE(C132,"'",""))+1</f>
        <v>3</v>
      </c>
    </row>
    <row r="127" spans="2:4" x14ac:dyDescent="0.3">
      <c r="B127" s="63" t="s">
        <v>6203</v>
      </c>
      <c r="C127" s="65">
        <f ca="1">C125+C126+C47</f>
        <v>23</v>
      </c>
    </row>
    <row r="128" spans="2:4" x14ac:dyDescent="0.3">
      <c r="B128" s="61"/>
      <c r="C128" s="62"/>
    </row>
    <row r="129" spans="2:4" x14ac:dyDescent="0.3">
      <c r="B129" s="63" t="s">
        <v>6205</v>
      </c>
      <c r="C129" s="62" t="str">
        <f>CONCATENATE("CNT+",INDEX(MessageType[CNT_Code],MATCH($C$90,MessageType[MessageType],0)),":",$C$47,"'")</f>
        <v>CNT+42:10'</v>
      </c>
    </row>
    <row r="130" spans="2:4" x14ac:dyDescent="0.3">
      <c r="B130" s="63" t="s">
        <v>53</v>
      </c>
      <c r="C130" s="62" t="str">
        <f ca="1">CONCATENATE("UNT+",$C$127,"+",$C$108,"'")</f>
        <v>UNT+23+53371718146010'</v>
      </c>
    </row>
    <row r="131" spans="2:4" x14ac:dyDescent="0.3">
      <c r="B131" s="63" t="s">
        <v>51</v>
      </c>
      <c r="C131" s="62" t="str">
        <f>CONCATENATE("UNZ+1+",TEXT($C$105,"000000000"),"'")</f>
        <v>UNZ+1+123456789'</v>
      </c>
    </row>
    <row r="132" spans="2:4" x14ac:dyDescent="0.3">
      <c r="B132" s="63" t="s">
        <v>6209</v>
      </c>
      <c r="C132" s="62" t="str">
        <f>CONCATENATE(CHAR(10),$C$129,CHAR(10),$C$131)</f>
        <v xml:space="preserve">
CNT+42:10'
UNZ+1+123456789'</v>
      </c>
    </row>
    <row r="133" spans="2:4" x14ac:dyDescent="0.3">
      <c r="B133" s="63" t="s">
        <v>6204</v>
      </c>
      <c r="C133" s="62" t="str">
        <f ca="1">CONCATENATE(CHAR(10),$C$129,CHAR(10),$C$130,CHAR(10),$C$131)</f>
        <v xml:space="preserve">
CNT+42:10'
UNT+23+53371718146010'
UNZ+1+123456789'</v>
      </c>
      <c r="D133" s="40">
        <v>0</v>
      </c>
    </row>
    <row r="134" spans="2:4" x14ac:dyDescent="0.3">
      <c r="B134" s="72" t="s">
        <v>6139</v>
      </c>
      <c r="C134" s="62" t="str">
        <f>INDEX(Table59[UNAcodeset],MATCH(Home!C91,Table59[ID],0))</f>
        <v>:+.? '</v>
      </c>
    </row>
    <row r="135" spans="2:4" x14ac:dyDescent="0.3">
      <c r="B135" s="72" t="s">
        <v>6141</v>
      </c>
      <c r="C135" s="80" t="s">
        <v>6142</v>
      </c>
    </row>
    <row r="136" spans="2:4" x14ac:dyDescent="0.3">
      <c r="B136" s="79" t="s">
        <v>6211</v>
      </c>
      <c r="C136" s="78" t="str">
        <f ca="1">CONCATENATE(TEXT($C$75,"yyyymmdd hhmm"),"_",$C$89,"_PNR_",$C$124,"_",$C$66,$C$67,"_",$C$57,"_",$C$59,"_",TEXT($C$63,"yyyymmdd hhmm"))</f>
        <v>190802:1211_Wheels Up_PNR_20519_YY123_IAD_BRU_20190802 1700</v>
      </c>
      <c r="D136" s="40">
        <v>0</v>
      </c>
    </row>
    <row r="137" spans="2:4" x14ac:dyDescent="0.3">
      <c r="B137" s="79" t="s">
        <v>4192</v>
      </c>
      <c r="C137" s="78"/>
    </row>
  </sheetData>
  <protectedRanges>
    <protectedRange sqref="C89:D89 D90" name="Range1"/>
  </protectedRanges>
  <conditionalFormatting sqref="C3">
    <cfRule type="expression" dxfId="141" priority="20">
      <formula>$C$3="Manifest Generator Output"</formula>
    </cfRule>
    <cfRule type="expression" dxfId="140" priority="21">
      <formula>$C$3="Random Passenger Data"</formula>
    </cfRule>
  </conditionalFormatting>
  <conditionalFormatting sqref="C6">
    <cfRule type="expression" dxfId="139" priority="19">
      <formula>$C$3="Random Passenger Data"</formula>
    </cfRule>
  </conditionalFormatting>
  <conditionalFormatting sqref="B6">
    <cfRule type="expression" dxfId="138" priority="18">
      <formula>$C$3="Random Passenger Data"</formula>
    </cfRule>
  </conditionalFormatting>
  <conditionalFormatting sqref="E8">
    <cfRule type="expression" dxfId="137" priority="17">
      <formula>$E$8="Please click, 'Update Passengers'"</formula>
    </cfRule>
  </conditionalFormatting>
  <conditionalFormatting sqref="B1:C1">
    <cfRule type="expression" dxfId="136" priority="15">
      <formula>$C$3="Manifest Generator Output"</formula>
    </cfRule>
    <cfRule type="expression" dxfId="135" priority="16">
      <formula>$C$3="Random Passenger Data"</formula>
    </cfRule>
  </conditionalFormatting>
  <conditionalFormatting sqref="B31:C31">
    <cfRule type="expression" dxfId="134" priority="11">
      <formula>$C$3="Manifest Generator Output"</formula>
    </cfRule>
    <cfRule type="expression" dxfId="133" priority="12">
      <formula>$C$3="Random Passenger Data"</formula>
    </cfRule>
  </conditionalFormatting>
  <conditionalFormatting sqref="B37:C37">
    <cfRule type="expression" dxfId="132" priority="9">
      <formula>$C$3="Manifest Generator Output"</formula>
    </cfRule>
    <cfRule type="expression" dxfId="131" priority="10">
      <formula>$C$3="Random Passenger Data"</formula>
    </cfRule>
  </conditionalFormatting>
  <conditionalFormatting sqref="B45:C45">
    <cfRule type="expression" dxfId="130" priority="7">
      <formula>$C$3="Manifest Generator Output"</formula>
    </cfRule>
    <cfRule type="expression" dxfId="129" priority="8">
      <formula>$C$3="Random Passenger Data"</formula>
    </cfRule>
  </conditionalFormatting>
  <conditionalFormatting sqref="B87:C87">
    <cfRule type="expression" dxfId="128" priority="3">
      <formula>$C$3="Manifest Generator Output"</formula>
    </cfRule>
    <cfRule type="expression" dxfId="127" priority="4">
      <formula>$C$3="Random Passenger Data"</formula>
    </cfRule>
  </conditionalFormatting>
  <conditionalFormatting sqref="C52:C53">
    <cfRule type="expression" dxfId="126" priority="1">
      <formula>C52=FALSE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expandPNRrows">
                <anchor moveWithCells="1" sizeWithCells="1">
                  <from>
                    <xdr:col>2</xdr:col>
                    <xdr:colOff>0</xdr:colOff>
                    <xdr:row>7</xdr:row>
                    <xdr:rowOff>15240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5" name="Button 10">
              <controlPr defaultSize="0" print="0" autoFill="0" autoPict="0" macro="[0]!PrintAPIS1">
                <anchor moveWithCells="1" sizeWithCells="1">
                  <from>
                    <xdr:col>1</xdr:col>
                    <xdr:colOff>2346960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3" r:id="rId6" name="Button 13">
              <controlPr defaultSize="0" print="0" autoFill="0" autoPict="0" macro="[0]!PrintApisNew">
                <anchor moveWithCells="1" sizeWithCells="1">
                  <from>
                    <xdr:col>1</xdr:col>
                    <xdr:colOff>2346960</xdr:colOff>
                    <xdr:row>32</xdr:row>
                    <xdr:rowOff>0</xdr:rowOff>
                  </from>
                  <to>
                    <xdr:col>2</xdr:col>
                    <xdr:colOff>1691640</xdr:colOff>
                    <xdr:row>33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unbSegments!$B$2:$B$6</xm:f>
          </x14:formula1>
          <xm:sqref>D89:D90 C89</xm:sqref>
        </x14:dataValidation>
        <x14:dataValidation type="list" allowBlank="1" showInputMessage="1" showErrorMessage="1">
          <x14:formula1>
            <xm:f>ReferenceTable_APISmessageType!$A$2:$A$6</xm:f>
          </x14:formula1>
          <xm:sqref>C90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111111">
    <tabColor rgb="FF8E24AA"/>
  </sheetPr>
  <dimension ref="A1:AI11"/>
  <sheetViews>
    <sheetView zoomScale="125" workbookViewId="0">
      <selection activeCell="A3" sqref="A3"/>
    </sheetView>
  </sheetViews>
  <sheetFormatPr defaultColWidth="8.77734375" defaultRowHeight="14.4" x14ac:dyDescent="0.3"/>
  <cols>
    <col min="1" max="1" width="13.77734375" style="5" bestFit="1" customWidth="1"/>
    <col min="2" max="2" width="17.44140625" bestFit="1" customWidth="1"/>
    <col min="3" max="3" width="17.44140625" customWidth="1"/>
    <col min="4" max="4" width="10.6640625" bestFit="1" customWidth="1"/>
    <col min="5" max="5" width="9.77734375" customWidth="1"/>
    <col min="6" max="6" width="13" customWidth="1"/>
    <col min="7" max="7" width="21.44140625" bestFit="1" customWidth="1"/>
    <col min="8" max="8" width="30.77734375" style="85" bestFit="1" customWidth="1"/>
    <col min="9" max="9" width="21.77734375" style="92" bestFit="1" customWidth="1"/>
    <col min="10" max="10" width="25.77734375" bestFit="1" customWidth="1"/>
    <col min="11" max="11" width="26.33203125" bestFit="1" customWidth="1"/>
    <col min="12" max="12" width="30.77734375" bestFit="1" customWidth="1"/>
    <col min="13" max="13" width="26.33203125" bestFit="1" customWidth="1"/>
    <col min="14" max="14" width="27.77734375" bestFit="1" customWidth="1"/>
    <col min="15" max="15" width="24.33203125" bestFit="1" customWidth="1"/>
    <col min="16" max="16" width="15.77734375" bestFit="1" customWidth="1"/>
    <col min="17" max="17" width="16.77734375" bestFit="1" customWidth="1"/>
    <col min="18" max="18" width="16.33203125" bestFit="1" customWidth="1"/>
    <col min="19" max="19" width="8.6640625" bestFit="1" customWidth="1"/>
    <col min="22" max="22" width="22.44140625" style="5" bestFit="1" customWidth="1"/>
    <col min="23" max="23" width="26.109375" style="5" bestFit="1" customWidth="1"/>
    <col min="24" max="24" width="14.77734375" style="5" customWidth="1"/>
    <col min="26" max="26" width="21.33203125" style="5" bestFit="1" customWidth="1"/>
    <col min="27" max="27" width="28" bestFit="1" customWidth="1"/>
    <col min="28" max="28" width="9.77734375" style="5" bestFit="1" customWidth="1"/>
    <col min="29" max="29" width="21.77734375" bestFit="1" customWidth="1"/>
    <col min="30" max="30" width="14" bestFit="1" customWidth="1"/>
    <col min="31" max="31" width="14.33203125" bestFit="1" customWidth="1"/>
    <col min="32" max="32" width="10.77734375" bestFit="1" customWidth="1"/>
    <col min="33" max="34" width="22.109375" bestFit="1" customWidth="1"/>
    <col min="35" max="35" width="12.44140625" style="3" bestFit="1" customWidth="1"/>
    <col min="36" max="36" width="15.109375" bestFit="1" customWidth="1"/>
  </cols>
  <sheetData>
    <row r="1" spans="1:35" x14ac:dyDescent="0.3">
      <c r="A1" s="39" t="s">
        <v>6286</v>
      </c>
      <c r="B1" s="32" t="s">
        <v>6288</v>
      </c>
      <c r="C1" s="32" t="s">
        <v>6287</v>
      </c>
      <c r="D1" s="32" t="s">
        <v>6296</v>
      </c>
      <c r="E1" s="32" t="s">
        <v>6289</v>
      </c>
      <c r="F1" s="32" t="s">
        <v>6285</v>
      </c>
      <c r="G1" s="32" t="s">
        <v>6298</v>
      </c>
      <c r="H1" s="32" t="s">
        <v>6299</v>
      </c>
      <c r="I1" s="91" t="s">
        <v>6297</v>
      </c>
      <c r="J1" s="93" t="s">
        <v>6305</v>
      </c>
      <c r="K1" s="32" t="s">
        <v>6301</v>
      </c>
      <c r="L1" s="32" t="s">
        <v>6302</v>
      </c>
      <c r="M1" s="32" t="s">
        <v>6300</v>
      </c>
      <c r="N1" s="93" t="s">
        <v>6306</v>
      </c>
      <c r="O1" s="32" t="s">
        <v>6307</v>
      </c>
      <c r="P1" s="32" t="s">
        <v>6281</v>
      </c>
      <c r="Q1" s="32" t="s">
        <v>6308</v>
      </c>
      <c r="R1" s="32" t="s">
        <v>6309</v>
      </c>
      <c r="S1" s="32" t="s">
        <v>6283</v>
      </c>
      <c r="T1" s="32" t="s">
        <v>6111</v>
      </c>
      <c r="U1" s="32" t="s">
        <v>6280</v>
      </c>
      <c r="V1" s="32" t="s">
        <v>6116</v>
      </c>
      <c r="W1" t="s">
        <v>91</v>
      </c>
      <c r="X1" t="s">
        <v>6268</v>
      </c>
      <c r="Y1" t="s">
        <v>255</v>
      </c>
      <c r="Z1" t="s">
        <v>256</v>
      </c>
      <c r="AA1" t="s">
        <v>6118</v>
      </c>
      <c r="AB1" t="s">
        <v>6119</v>
      </c>
      <c r="AI1"/>
    </row>
    <row r="2" spans="1:35" x14ac:dyDescent="0.3">
      <c r="A2" s="84" t="s">
        <v>6324</v>
      </c>
      <c r="D2" s="37"/>
      <c r="H2"/>
      <c r="J2" s="85"/>
      <c r="N2" s="85"/>
      <c r="O2" t="s">
        <v>6323</v>
      </c>
      <c r="Q2" t="s">
        <v>70</v>
      </c>
      <c r="R2" t="s">
        <v>152</v>
      </c>
      <c r="S2" t="s">
        <v>29</v>
      </c>
      <c r="T2">
        <v>1</v>
      </c>
      <c r="U2">
        <v>10</v>
      </c>
      <c r="V2" s="2">
        <v>1</v>
      </c>
      <c r="W2">
        <f>ROW(ManifestGeneratorInput[[#This Row],[lastName]])-1</f>
        <v>1</v>
      </c>
      <c r="X2" t="str">
        <f>IF(ManifestGeneratorInput[[#This Row],[OrderOnPNR]]=1,"Main","Co-Traveler")</f>
        <v>Main</v>
      </c>
      <c r="Y2" s="2">
        <f>SUMPRODUCT(--(ManifestGeneratorInput[pnrRecordLocatorNumber]=ManifestGeneratorInput[[#This Row],[pnrRecordLocatorNumber]]),--(ManifestGeneratorInput[RowNo.]&lt;=ManifestGeneratorInput[[#This Row],[RowNo.]]))</f>
        <v>1</v>
      </c>
      <c r="Z2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1</v>
      </c>
      <c r="AA2" s="2" t="str">
        <f ca="1">INDEX(ManifestGeneratorInput[embarkationPort],MATCH(ManifestGeneratorInput[[#This Row],[MainTraveler]],ManifestGeneratorInput[RowNo.],0))</f>
        <v>IAD</v>
      </c>
      <c r="AB2" s="2" t="str">
        <f ca="1">INDEX(ManifestGeneratorInput[debarkationPort],MATCH(ManifestGeneratorInput[[#This Row],[MainTraveler]],ManifestGeneratorInput[RowNo.],0))</f>
        <v>BRU</v>
      </c>
      <c r="AI2"/>
    </row>
    <row r="3" spans="1:35" x14ac:dyDescent="0.3">
      <c r="A3" s="5" t="s">
        <v>6228</v>
      </c>
      <c r="B3" t="s">
        <v>6229</v>
      </c>
      <c r="D3" s="37">
        <v>41378</v>
      </c>
      <c r="E3" t="s">
        <v>13</v>
      </c>
      <c r="F3" t="s">
        <v>801</v>
      </c>
      <c r="G3" t="s">
        <v>3</v>
      </c>
      <c r="H3" t="s">
        <v>801</v>
      </c>
      <c r="I3" s="92" t="s">
        <v>6230</v>
      </c>
      <c r="J3" s="85">
        <v>43831</v>
      </c>
      <c r="N3" s="85"/>
      <c r="O3" t="s">
        <v>6231</v>
      </c>
      <c r="P3" t="s">
        <v>6232</v>
      </c>
      <c r="S3" t="s">
        <v>29</v>
      </c>
      <c r="V3" s="2">
        <v>1</v>
      </c>
      <c r="W3" s="2">
        <f>ROW(ManifestGeneratorInput[[#This Row],[lastName]])-1</f>
        <v>2</v>
      </c>
      <c r="X3" s="2" t="str">
        <f>IF(ManifestGeneratorInput[[#This Row],[OrderOnPNR]]=1,"Main","Co-Traveler")</f>
        <v>Main</v>
      </c>
      <c r="Y3" s="2">
        <f>SUMPRODUCT(--(ManifestGeneratorInput[pnrRecordLocatorNumber]=ManifestGeneratorInput[[#This Row],[pnrRecordLocatorNumber]]),--(ManifestGeneratorInput[RowNo.]&lt;=ManifestGeneratorInput[[#This Row],[RowNo.]]))</f>
        <v>1</v>
      </c>
      <c r="Z3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2</v>
      </c>
      <c r="AA3" s="2">
        <f ca="1">INDEX(ManifestGeneratorInput[embarkationPort],MATCH(ManifestGeneratorInput[[#This Row],[MainTraveler]],ManifestGeneratorInput[RowNo.],0))</f>
        <v>0</v>
      </c>
      <c r="AB3" s="2">
        <f ca="1">INDEX(ManifestGeneratorInput[debarkationPort],MATCH(ManifestGeneratorInput[[#This Row],[MainTraveler]],ManifestGeneratorInput[RowNo.],0))</f>
        <v>0</v>
      </c>
      <c r="AI3"/>
    </row>
    <row r="4" spans="1:35" x14ac:dyDescent="0.3">
      <c r="A4" s="5" t="s">
        <v>6233</v>
      </c>
      <c r="B4" t="s">
        <v>6234</v>
      </c>
      <c r="D4" s="37">
        <v>12033</v>
      </c>
      <c r="E4" t="s">
        <v>13</v>
      </c>
      <c r="F4" t="s">
        <v>251</v>
      </c>
      <c r="G4" t="s">
        <v>3</v>
      </c>
      <c r="H4" t="s">
        <v>251</v>
      </c>
      <c r="I4" s="92">
        <v>41570439</v>
      </c>
      <c r="J4" s="85">
        <v>43832</v>
      </c>
      <c r="N4" s="85"/>
      <c r="O4" t="s">
        <v>6235</v>
      </c>
      <c r="P4" t="s">
        <v>6236</v>
      </c>
      <c r="S4" t="s">
        <v>29</v>
      </c>
      <c r="T4">
        <v>2</v>
      </c>
      <c r="U4">
        <v>20</v>
      </c>
      <c r="V4" s="2">
        <v>1</v>
      </c>
      <c r="W4" s="2">
        <f>ROW(ManifestGeneratorInput[[#This Row],[lastName]])-1</f>
        <v>3</v>
      </c>
      <c r="X4" s="2" t="str">
        <f>IF(ManifestGeneratorInput[[#This Row],[OrderOnPNR]]=1,"Main","Co-Traveler")</f>
        <v>Main</v>
      </c>
      <c r="Y4" s="2">
        <f>SUMPRODUCT(--(ManifestGeneratorInput[pnrRecordLocatorNumber]=ManifestGeneratorInput[[#This Row],[pnrRecordLocatorNumber]]),--(ManifestGeneratorInput[RowNo.]&lt;=ManifestGeneratorInput[[#This Row],[RowNo.]]))</f>
        <v>1</v>
      </c>
      <c r="Z4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3</v>
      </c>
      <c r="AA4" s="2">
        <f ca="1">INDEX(ManifestGeneratorInput[embarkationPort],MATCH(ManifestGeneratorInput[[#This Row],[MainTraveler]],ManifestGeneratorInput[RowNo.],0))</f>
        <v>0</v>
      </c>
      <c r="AB4" s="2">
        <f ca="1">INDEX(ManifestGeneratorInput[debarkationPort],MATCH(ManifestGeneratorInput[[#This Row],[MainTraveler]],ManifestGeneratorInput[RowNo.],0))</f>
        <v>0</v>
      </c>
      <c r="AI4"/>
    </row>
    <row r="5" spans="1:35" x14ac:dyDescent="0.3">
      <c r="A5" s="5" t="s">
        <v>6237</v>
      </c>
      <c r="B5" t="s">
        <v>6238</v>
      </c>
      <c r="D5" s="37">
        <v>7920</v>
      </c>
      <c r="E5" t="s">
        <v>14</v>
      </c>
      <c r="F5" t="s">
        <v>1409</v>
      </c>
      <c r="G5" t="s">
        <v>3</v>
      </c>
      <c r="H5" t="s">
        <v>1409</v>
      </c>
      <c r="I5" s="92">
        <v>24416860</v>
      </c>
      <c r="J5" s="85">
        <v>43833</v>
      </c>
      <c r="N5" s="85"/>
      <c r="O5" t="s">
        <v>6239</v>
      </c>
      <c r="P5" t="s">
        <v>6240</v>
      </c>
      <c r="S5" t="s">
        <v>29</v>
      </c>
      <c r="V5" s="2">
        <v>1</v>
      </c>
      <c r="W5" s="2">
        <f>ROW(ManifestGeneratorInput[[#This Row],[lastName]])-1</f>
        <v>4</v>
      </c>
      <c r="X5" s="2" t="str">
        <f>IF(ManifestGeneratorInput[[#This Row],[OrderOnPNR]]=1,"Main","Co-Traveler")</f>
        <v>Main</v>
      </c>
      <c r="Y5" s="2">
        <f>SUMPRODUCT(--(ManifestGeneratorInput[pnrRecordLocatorNumber]=ManifestGeneratorInput[[#This Row],[pnrRecordLocatorNumber]]),--(ManifestGeneratorInput[RowNo.]&lt;=ManifestGeneratorInput[[#This Row],[RowNo.]]))</f>
        <v>1</v>
      </c>
      <c r="Z5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4</v>
      </c>
      <c r="AA5" s="2">
        <f ca="1">INDEX(ManifestGeneratorInput[embarkationPort],MATCH(ManifestGeneratorInput[[#This Row],[MainTraveler]],ManifestGeneratorInput[RowNo.],0))</f>
        <v>0</v>
      </c>
      <c r="AB5" s="2">
        <f ca="1">INDEX(ManifestGeneratorInput[debarkationPort],MATCH(ManifestGeneratorInput[[#This Row],[MainTraveler]],ManifestGeneratorInput[RowNo.],0))</f>
        <v>0</v>
      </c>
      <c r="AI5"/>
    </row>
    <row r="6" spans="1:35" x14ac:dyDescent="0.3">
      <c r="A6" s="5" t="s">
        <v>6241</v>
      </c>
      <c r="B6" t="s">
        <v>6242</v>
      </c>
      <c r="D6" s="37">
        <v>18405</v>
      </c>
      <c r="E6" t="s">
        <v>13</v>
      </c>
      <c r="F6" t="s">
        <v>252</v>
      </c>
      <c r="G6" t="s">
        <v>3</v>
      </c>
      <c r="H6" t="s">
        <v>252</v>
      </c>
      <c r="I6" s="92" t="s">
        <v>6243</v>
      </c>
      <c r="J6" s="85">
        <v>43834</v>
      </c>
      <c r="N6" s="85">
        <v>44197</v>
      </c>
      <c r="O6" t="s">
        <v>6239</v>
      </c>
      <c r="P6" t="s">
        <v>6244</v>
      </c>
      <c r="S6" t="s">
        <v>29</v>
      </c>
      <c r="T6">
        <v>3</v>
      </c>
      <c r="U6">
        <v>30</v>
      </c>
      <c r="V6" s="2">
        <v>1</v>
      </c>
      <c r="W6" s="2">
        <f>ROW(ManifestGeneratorInput[[#This Row],[lastName]])-1</f>
        <v>5</v>
      </c>
      <c r="X6" s="2" t="str">
        <f>IF(ManifestGeneratorInput[[#This Row],[OrderOnPNR]]=1,"Main","Co-Traveler")</f>
        <v>Co-Traveler</v>
      </c>
      <c r="Y6" s="2">
        <f>SUMPRODUCT(--(ManifestGeneratorInput[pnrRecordLocatorNumber]=ManifestGeneratorInput[[#This Row],[pnrRecordLocatorNumber]]),--(ManifestGeneratorInput[RowNo.]&lt;=ManifestGeneratorInput[[#This Row],[RowNo.]]))</f>
        <v>2</v>
      </c>
      <c r="Z6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4</v>
      </c>
      <c r="AA6" s="2">
        <f ca="1">INDEX(ManifestGeneratorInput[embarkationPort],MATCH(ManifestGeneratorInput[[#This Row],[MainTraveler]],ManifestGeneratorInput[RowNo.],0))</f>
        <v>0</v>
      </c>
      <c r="AB6" s="2">
        <f ca="1">INDEX(ManifestGeneratorInput[debarkationPort],MATCH(ManifestGeneratorInput[[#This Row],[MainTraveler]],ManifestGeneratorInput[RowNo.],0))</f>
        <v>0</v>
      </c>
      <c r="AI6"/>
    </row>
    <row r="7" spans="1:35" x14ac:dyDescent="0.3">
      <c r="A7" s="5" t="s">
        <v>6245</v>
      </c>
      <c r="B7" t="s">
        <v>6246</v>
      </c>
      <c r="D7" s="37">
        <v>14114</v>
      </c>
      <c r="E7" t="s">
        <v>13</v>
      </c>
      <c r="F7" t="s">
        <v>165</v>
      </c>
      <c r="G7" t="s">
        <v>3</v>
      </c>
      <c r="H7" t="s">
        <v>165</v>
      </c>
      <c r="I7" s="92" t="s">
        <v>6247</v>
      </c>
      <c r="J7" s="85">
        <v>43835</v>
      </c>
      <c r="N7" s="85">
        <v>44198</v>
      </c>
      <c r="O7" t="s">
        <v>6248</v>
      </c>
      <c r="P7" t="s">
        <v>6249</v>
      </c>
      <c r="S7" t="s">
        <v>29</v>
      </c>
      <c r="V7" s="2">
        <v>1</v>
      </c>
      <c r="W7" s="2">
        <f>ROW(ManifestGeneratorInput[[#This Row],[lastName]])-1</f>
        <v>6</v>
      </c>
      <c r="X7" s="2" t="str">
        <f>IF(ManifestGeneratorInput[[#This Row],[OrderOnPNR]]=1,"Main","Co-Traveler")</f>
        <v>Main</v>
      </c>
      <c r="Y7" s="2">
        <f>SUMPRODUCT(--(ManifestGeneratorInput[pnrRecordLocatorNumber]=ManifestGeneratorInput[[#This Row],[pnrRecordLocatorNumber]]),--(ManifestGeneratorInput[RowNo.]&lt;=ManifestGeneratorInput[[#This Row],[RowNo.]]))</f>
        <v>1</v>
      </c>
      <c r="Z7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6</v>
      </c>
      <c r="AA7" s="2">
        <f ca="1">INDEX(ManifestGeneratorInput[embarkationPort],MATCH(ManifestGeneratorInput[[#This Row],[MainTraveler]],ManifestGeneratorInput[RowNo.],0))</f>
        <v>0</v>
      </c>
      <c r="AB7" s="2">
        <f ca="1">INDEX(ManifestGeneratorInput[debarkationPort],MATCH(ManifestGeneratorInput[[#This Row],[MainTraveler]],ManifestGeneratorInput[RowNo.],0))</f>
        <v>0</v>
      </c>
      <c r="AI7"/>
    </row>
    <row r="8" spans="1:35" x14ac:dyDescent="0.3">
      <c r="A8" s="5" t="s">
        <v>5112</v>
      </c>
      <c r="B8" t="s">
        <v>6250</v>
      </c>
      <c r="D8" s="37">
        <v>32879</v>
      </c>
      <c r="E8" t="s">
        <v>13</v>
      </c>
      <c r="F8" t="s">
        <v>72</v>
      </c>
      <c r="G8" t="s">
        <v>3</v>
      </c>
      <c r="H8" t="s">
        <v>72</v>
      </c>
      <c r="I8" s="92">
        <v>42878759</v>
      </c>
      <c r="J8" s="85"/>
      <c r="N8" s="85">
        <v>44199</v>
      </c>
      <c r="O8" t="s">
        <v>6251</v>
      </c>
      <c r="P8" t="s">
        <v>6252</v>
      </c>
      <c r="S8" t="s">
        <v>29</v>
      </c>
      <c r="V8" s="2">
        <v>1</v>
      </c>
      <c r="W8" s="2">
        <f>ROW(ManifestGeneratorInput[[#This Row],[lastName]])-1</f>
        <v>7</v>
      </c>
      <c r="X8" s="2" t="str">
        <f>IF(ManifestGeneratorInput[[#This Row],[OrderOnPNR]]=1,"Main","Co-Traveler")</f>
        <v>Main</v>
      </c>
      <c r="Y8" s="2">
        <f>SUMPRODUCT(--(ManifestGeneratorInput[pnrRecordLocatorNumber]=ManifestGeneratorInput[[#This Row],[pnrRecordLocatorNumber]]),--(ManifestGeneratorInput[RowNo.]&lt;=ManifestGeneratorInput[[#This Row],[RowNo.]]))</f>
        <v>1</v>
      </c>
      <c r="Z8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7</v>
      </c>
      <c r="AA8" s="2">
        <f ca="1">INDEX(ManifestGeneratorInput[embarkationPort],MATCH(ManifestGeneratorInput[[#This Row],[MainTraveler]],ManifestGeneratorInput[RowNo.],0))</f>
        <v>0</v>
      </c>
      <c r="AB8" s="2">
        <f ca="1">INDEX(ManifestGeneratorInput[debarkationPort],MATCH(ManifestGeneratorInput[[#This Row],[MainTraveler]],ManifestGeneratorInput[RowNo.],0))</f>
        <v>0</v>
      </c>
      <c r="AI8"/>
    </row>
    <row r="9" spans="1:35" x14ac:dyDescent="0.3">
      <c r="A9" s="5" t="s">
        <v>6253</v>
      </c>
      <c r="B9" t="s">
        <v>6254</v>
      </c>
      <c r="D9" s="37">
        <v>31281</v>
      </c>
      <c r="E9" t="s">
        <v>14</v>
      </c>
      <c r="F9" t="s">
        <v>164</v>
      </c>
      <c r="G9" t="s">
        <v>3</v>
      </c>
      <c r="H9" t="s">
        <v>164</v>
      </c>
      <c r="I9" s="92" t="s">
        <v>6255</v>
      </c>
      <c r="J9" s="85"/>
      <c r="N9" s="85"/>
      <c r="O9" t="s">
        <v>6251</v>
      </c>
      <c r="P9" t="s">
        <v>6256</v>
      </c>
      <c r="S9" t="s">
        <v>29</v>
      </c>
      <c r="V9" s="2">
        <v>1</v>
      </c>
      <c r="W9" s="2">
        <f>ROW(ManifestGeneratorInput[[#This Row],[lastName]])-1</f>
        <v>8</v>
      </c>
      <c r="X9" s="2" t="str">
        <f>IF(ManifestGeneratorInput[[#This Row],[OrderOnPNR]]=1,"Main","Co-Traveler")</f>
        <v>Co-Traveler</v>
      </c>
      <c r="Y9" s="2">
        <f>SUMPRODUCT(--(ManifestGeneratorInput[pnrRecordLocatorNumber]=ManifestGeneratorInput[[#This Row],[pnrRecordLocatorNumber]]),--(ManifestGeneratorInput[RowNo.]&lt;=ManifestGeneratorInput[[#This Row],[RowNo.]]))</f>
        <v>2</v>
      </c>
      <c r="Z9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7</v>
      </c>
      <c r="AA9" s="2">
        <f ca="1">INDEX(ManifestGeneratorInput[embarkationPort],MATCH(ManifestGeneratorInput[[#This Row],[MainTraveler]],ManifestGeneratorInput[RowNo.],0))</f>
        <v>0</v>
      </c>
      <c r="AB9" s="2">
        <f ca="1">INDEX(ManifestGeneratorInput[debarkationPort],MATCH(ManifestGeneratorInput[[#This Row],[MainTraveler]],ManifestGeneratorInput[RowNo.],0))</f>
        <v>0</v>
      </c>
      <c r="AI9"/>
    </row>
    <row r="10" spans="1:35" x14ac:dyDescent="0.3">
      <c r="A10" s="5" t="s">
        <v>6257</v>
      </c>
      <c r="B10" t="s">
        <v>6258</v>
      </c>
      <c r="D10" s="37">
        <v>17401</v>
      </c>
      <c r="E10" t="s">
        <v>14</v>
      </c>
      <c r="F10" t="s">
        <v>251</v>
      </c>
      <c r="G10" t="s">
        <v>3</v>
      </c>
      <c r="H10" t="s">
        <v>251</v>
      </c>
      <c r="I10" s="92">
        <v>11490614</v>
      </c>
      <c r="J10" s="85"/>
      <c r="N10" s="85"/>
      <c r="O10" t="s">
        <v>6259</v>
      </c>
      <c r="P10" t="s">
        <v>6260</v>
      </c>
      <c r="S10" t="s">
        <v>29</v>
      </c>
      <c r="V10" s="2">
        <v>1</v>
      </c>
      <c r="W10" s="2">
        <f>ROW(ManifestGeneratorInput[[#This Row],[lastName]])-1</f>
        <v>9</v>
      </c>
      <c r="X10" s="2" t="str">
        <f>IF(ManifestGeneratorInput[[#This Row],[OrderOnPNR]]=1,"Main","Co-Traveler")</f>
        <v>Main</v>
      </c>
      <c r="Y10" s="2">
        <f>SUMPRODUCT(--(ManifestGeneratorInput[pnrRecordLocatorNumber]=ManifestGeneratorInput[[#This Row],[pnrRecordLocatorNumber]]),--(ManifestGeneratorInput[RowNo.]&lt;=ManifestGeneratorInput[[#This Row],[RowNo.]]))</f>
        <v>1</v>
      </c>
      <c r="Z10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9</v>
      </c>
      <c r="AA10" s="2">
        <f ca="1">INDEX(ManifestGeneratorInput[embarkationPort],MATCH(ManifestGeneratorInput[[#This Row],[MainTraveler]],ManifestGeneratorInput[RowNo.],0))</f>
        <v>0</v>
      </c>
      <c r="AB10" s="2">
        <f ca="1">INDEX(ManifestGeneratorInput[debarkationPort],MATCH(ManifestGeneratorInput[[#This Row],[MainTraveler]],ManifestGeneratorInput[RowNo.],0))</f>
        <v>0</v>
      </c>
      <c r="AI10"/>
    </row>
    <row r="11" spans="1:35" x14ac:dyDescent="0.3">
      <c r="A11" s="5" t="s">
        <v>6261</v>
      </c>
      <c r="B11" t="s">
        <v>6262</v>
      </c>
      <c r="D11" s="37">
        <v>6912</v>
      </c>
      <c r="E11" t="s">
        <v>13</v>
      </c>
      <c r="F11" t="s">
        <v>72</v>
      </c>
      <c r="G11" t="s">
        <v>3</v>
      </c>
      <c r="H11" t="s">
        <v>72</v>
      </c>
      <c r="I11" s="92" t="s">
        <v>6263</v>
      </c>
      <c r="J11" s="85"/>
      <c r="N11" s="85"/>
      <c r="O11" t="s">
        <v>6264</v>
      </c>
      <c r="P11" t="s">
        <v>6265</v>
      </c>
      <c r="S11" t="s">
        <v>29</v>
      </c>
      <c r="V11" s="2">
        <v>1</v>
      </c>
      <c r="W11" s="2">
        <f>ROW(ManifestGeneratorInput[[#This Row],[lastName]])-1</f>
        <v>10</v>
      </c>
      <c r="X11" s="2" t="str">
        <f>IF(ManifestGeneratorInput[[#This Row],[OrderOnPNR]]=1,"Main","Co-Traveler")</f>
        <v>Main</v>
      </c>
      <c r="Y11" s="2">
        <f>SUMPRODUCT(--(ManifestGeneratorInput[pnrRecordLocatorNumber]=ManifestGeneratorInput[[#This Row],[pnrRecordLocatorNumber]]),--(ManifestGeneratorInput[RowNo.]&lt;=ManifestGeneratorInput[[#This Row],[RowNo.]]))</f>
        <v>1</v>
      </c>
      <c r="Z11" s="2">
        <f ca="1">IF(ManifestGeneratorInput[[#This Row],[AssignedTravelerType]]="Main",ManifestGeneratorInput[[#This Row],[RowNo.]],IF(OFFSET(ManifestGeneratorInput[[#This Row],[AssignedTravelerType]],-1,,)="Main",OFFSET(ManifestGeneratorInput[[#This Row],[RowNo.]],-1,,),IF(OFFSET(ManifestGeneratorInput[[#This Row],[AssignedTravelerType]],-2,,)="Main",OFFSET(ManifestGeneratorInput[[#This Row],[RowNo.]],-2,,),IF(OFFSET(ManifestGeneratorInput[[#This Row],[AssignedTravelerType]],-3,,)="Main",OFFSET(ManifestGeneratorInput[[#This Row],[RowNo.]],-3,,),IF(OFFSET(ManifestGeneratorInput[[#This Row],[AssignedTravelerType]],-4,,)="Main",OFFSET(ManifestGeneratorInput[[#This Row],[RowNo.]],-4,,),IF(OFFSET(ManifestGeneratorInput[[#This Row],[AssignedTravelerType]],-5,,)="Main",OFFSET(ManifestGeneratorInput[[#This Row],[RowNo.]],-5,,),IF(OFFSET(ManifestGeneratorInput[[#This Row],[AssignedTravelerType]],-6,,)="Main",OFFSET(ManifestGeneratorInput[[#This Row],[RowNo.]],-6,,),IF(OFFSET(ManifestGeneratorInput[[#This Row],[AssignedTravelerType]],-7,,)="Main",OFFSET(ManifestGeneratorInput[[#This Row],[RowNo.]],-7,,),ManifestGeneratorInput[[#This Row],[RowNo.]]))))))))</f>
        <v>10</v>
      </c>
      <c r="AA11" s="2">
        <f ca="1">INDEX(ManifestGeneratorInput[embarkationPort],MATCH(ManifestGeneratorInput[[#This Row],[MainTraveler]],ManifestGeneratorInput[RowNo.],0))</f>
        <v>0</v>
      </c>
      <c r="AB11" s="2">
        <f ca="1">INDEX(ManifestGeneratorInput[debarkationPort],MATCH(ManifestGeneratorInput[[#This Row],[MainTraveler]],ManifestGeneratorInput[RowNo.],0))</f>
        <v>0</v>
      </c>
      <c r="AI11"/>
    </row>
  </sheetData>
  <phoneticPr fontId="26" type="noConversion"/>
  <pageMargins left="0.7" right="0.7" top="0.75" bottom="0.75" header="0.3" footer="0.3"/>
  <pageSetup orientation="portrait" horizontalDpi="90" verticalDpi="9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ReferenceTable_APISpaxType!$A$2:$A$5</xm:f>
          </x14:formula1>
          <xm:sqref>S2:S11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111111">
    <tabColor theme="6" tint="0.39997558519241921"/>
  </sheetPr>
  <dimension ref="A1:AF4"/>
  <sheetViews>
    <sheetView zoomScale="95" zoomScaleNormal="95" workbookViewId="0">
      <selection activeCell="I3" sqref="I3"/>
    </sheetView>
  </sheetViews>
  <sheetFormatPr defaultColWidth="8.77734375" defaultRowHeight="14.4" x14ac:dyDescent="0.3"/>
  <cols>
    <col min="1" max="1" width="14.44140625" style="17" bestFit="1" customWidth="1"/>
    <col min="2" max="2" width="15.6640625" style="17" bestFit="1" customWidth="1"/>
    <col min="3" max="3" width="20.6640625" style="11" bestFit="1" customWidth="1"/>
    <col min="4" max="4" width="19.109375" style="11" customWidth="1"/>
    <col min="5" max="5" width="11.109375" bestFit="1" customWidth="1"/>
    <col min="6" max="6" width="18.77734375" bestFit="1" customWidth="1"/>
    <col min="7" max="7" width="15.44140625" bestFit="1" customWidth="1"/>
    <col min="8" max="8" width="18.33203125" style="11" customWidth="1"/>
    <col min="9" max="9" width="16.6640625" style="11" bestFit="1" customWidth="1"/>
    <col min="10" max="10" width="16.44140625" style="11" customWidth="1"/>
    <col min="11" max="11" width="14.77734375" style="11" customWidth="1"/>
    <col min="12" max="12" width="22.77734375" style="11" bestFit="1" customWidth="1"/>
    <col min="13" max="13" width="21.77734375" style="15" customWidth="1"/>
    <col min="14" max="15" width="13.33203125" style="11" customWidth="1"/>
    <col min="16" max="16" width="14.44140625" style="11" customWidth="1"/>
    <col min="17" max="17" width="8.77734375" customWidth="1"/>
    <col min="18" max="18" width="13.33203125" style="11" customWidth="1"/>
    <col min="19" max="19" width="20.109375" style="11" bestFit="1" customWidth="1"/>
    <col min="20" max="20" width="18.6640625" style="11" customWidth="1"/>
    <col min="21" max="22" width="16.6640625" bestFit="1" customWidth="1"/>
    <col min="28" max="28" width="14.77734375" bestFit="1" customWidth="1"/>
    <col min="29" max="29" width="16.6640625" bestFit="1" customWidth="1"/>
    <col min="30" max="30" width="16.6640625" style="11" bestFit="1" customWidth="1"/>
    <col min="31" max="31" width="14.77734375" bestFit="1" customWidth="1"/>
    <col min="32" max="32" width="12.44140625" bestFit="1" customWidth="1"/>
    <col min="33" max="33" width="14.33203125" style="11" bestFit="1" customWidth="1"/>
    <col min="34" max="34" width="17.44140625" style="11" bestFit="1" customWidth="1"/>
    <col min="35" max="35" width="16.6640625" style="11" bestFit="1" customWidth="1"/>
    <col min="36" max="36" width="17.44140625" style="11" bestFit="1" customWidth="1"/>
    <col min="37" max="37" width="14.77734375" style="11" bestFit="1" customWidth="1"/>
    <col min="38" max="16384" width="8.77734375" style="11"/>
  </cols>
  <sheetData>
    <row r="1" spans="1:32" x14ac:dyDescent="0.3">
      <c r="D1" s="21"/>
      <c r="E1" s="11"/>
      <c r="F1" s="19"/>
      <c r="G1" s="22"/>
      <c r="H1" s="20"/>
      <c r="J1" s="13"/>
      <c r="K1" s="13"/>
      <c r="L1" s="15"/>
      <c r="M1" s="11"/>
      <c r="Q1" s="11"/>
      <c r="T1" s="20"/>
      <c r="U1" s="19"/>
      <c r="V1" s="21"/>
      <c r="W1" s="12"/>
      <c r="X1" s="12"/>
      <c r="Y1" s="11"/>
      <c r="Z1" s="12"/>
      <c r="AA1" s="11"/>
      <c r="AB1" s="11"/>
      <c r="AC1" s="11"/>
      <c r="AE1" s="11"/>
      <c r="AF1" s="11"/>
    </row>
    <row r="2" spans="1:32" customFormat="1" x14ac:dyDescent="0.3"/>
    <row r="3" spans="1:32" x14ac:dyDescent="0.3">
      <c r="A3" s="18" t="s">
        <v>156</v>
      </c>
      <c r="B3" s="18" t="s">
        <v>226</v>
      </c>
      <c r="C3" s="24" t="s">
        <v>121</v>
      </c>
      <c r="D3" s="25" t="s">
        <v>120</v>
      </c>
      <c r="E3" s="25" t="s">
        <v>115</v>
      </c>
      <c r="F3" s="26" t="s">
        <v>221</v>
      </c>
      <c r="G3" s="28" t="s">
        <v>119</v>
      </c>
      <c r="H3" s="26" t="s">
        <v>118</v>
      </c>
      <c r="I3" s="11" t="s">
        <v>17</v>
      </c>
      <c r="J3" s="24" t="s">
        <v>123</v>
      </c>
      <c r="K3" s="24" t="s">
        <v>124</v>
      </c>
      <c r="L3" s="16" t="s">
        <v>225</v>
      </c>
      <c r="M3" s="24" t="s">
        <v>230</v>
      </c>
      <c r="N3" s="24" t="s">
        <v>231</v>
      </c>
      <c r="O3" s="24" t="s">
        <v>232</v>
      </c>
      <c r="P3" s="24" t="s">
        <v>114</v>
      </c>
      <c r="Q3" s="24" t="s">
        <v>122</v>
      </c>
      <c r="R3" s="24" t="s">
        <v>106</v>
      </c>
      <c r="S3" s="24" t="s">
        <v>125</v>
      </c>
      <c r="T3" s="27" t="s">
        <v>18</v>
      </c>
      <c r="U3" s="27" t="s">
        <v>19</v>
      </c>
      <c r="V3" s="29" t="s">
        <v>117</v>
      </c>
      <c r="W3" s="12" t="s">
        <v>126</v>
      </c>
      <c r="X3" s="12" t="s">
        <v>128</v>
      </c>
      <c r="Y3" s="13" t="s">
        <v>107</v>
      </c>
      <c r="Z3" s="12" t="s">
        <v>220</v>
      </c>
      <c r="AA3" s="11" t="s">
        <v>70</v>
      </c>
      <c r="AB3" s="11" t="s">
        <v>6278</v>
      </c>
      <c r="AC3" s="11" t="s">
        <v>6279</v>
      </c>
      <c r="AE3" s="11"/>
      <c r="AF3" s="11"/>
    </row>
    <row r="4" spans="1:32" ht="28.8" x14ac:dyDescent="0.3">
      <c r="A4" s="17">
        <v>1</v>
      </c>
      <c r="B4" s="17" t="s">
        <v>6316</v>
      </c>
      <c r="C4" s="11" t="s">
        <v>70</v>
      </c>
      <c r="D4" s="23" t="s">
        <v>152</v>
      </c>
      <c r="E4" s="19">
        <v>42849</v>
      </c>
      <c r="F4" s="20">
        <v>0.5</v>
      </c>
      <c r="G4" s="22">
        <v>42850</v>
      </c>
      <c r="H4" s="20">
        <v>0.55694444444444446</v>
      </c>
      <c r="I4" s="11" t="s">
        <v>111</v>
      </c>
      <c r="L4" s="14" t="str">
        <f>UPPER(CONCATENATE(CannedFlights[[#This Row],[Departure Airport]]," ",TEXT(CannedFlights[[#This Row],[ETD]],"MMM-dd hhmm"),CHAR(10),CannedFlights[[#This Row],[Arrival Airport]]," ",TEXT(CannedFlights[[#This Row],[ETA]],"mmm-dd hhmm")))</f>
        <v>IAD APR-24 1200
BRU APR-25 1322</v>
      </c>
      <c r="M4" s="11">
        <f>COUNTIFS(CannedFlights[Arrival Airport],"="&amp;CannedFlights[[#This Row],[Departure Airport]])</f>
        <v>0</v>
      </c>
      <c r="N4" s="11">
        <f>COUNTIFS(CannedFlights[Departure Airport],"="&amp;CannedFlights[[#This Row],[Arrival Airport]])</f>
        <v>0</v>
      </c>
      <c r="O4" s="11" t="str">
        <f>IF(CannedFlights[[#This Row],[Arrival Airport]]=$N$1,1,IF(CannedFlights[[#This Row],[Unique ID]]=$V$1,0,""))</f>
        <v/>
      </c>
      <c r="P4" s="11">
        <v>1</v>
      </c>
      <c r="Q4" s="11">
        <v>1</v>
      </c>
      <c r="R4" s="11" t="str">
        <f>LEFT(CannedFlights[[#This Row],[Flight Name]],2)</f>
        <v>YY</v>
      </c>
      <c r="S4" s="11" t="str">
        <f>RIGHT(CannedFlights[[#This Row],[Flight Name]],LEN(CannedFlights[[#This Row],[Flight Name]])-2)</f>
        <v>123</v>
      </c>
      <c r="T4" s="30">
        <f t="shared" ref="T4" si="0">E4+F4</f>
        <v>42849.5</v>
      </c>
      <c r="U4" s="30">
        <f t="shared" ref="U4" si="1">G4+H4</f>
        <v>42850.556944444441</v>
      </c>
      <c r="V4" s="23" t="str">
        <f>CONCATENATE(CannedFlights[[#This Row],[Operating Carrier]],CannedFlights[[#This Row],[Op Flight No.]],"_",CannedFlights[[#This Row],[Departure Airport]],"_",CannedFlights[[#This Row],[Arrival Airport]],"_",TEXT(CannedFlights[[#This Row],[ETD]],"yyyy-mm-dd hh:mm"))</f>
        <v>YY123_IAD_BRU_2017-04-24 12:00</v>
      </c>
      <c r="W4" s="12">
        <f>CannedFlights[[#This Row],[ETA]]-CannedFlights[[#This Row],[ETD]]</f>
        <v>1.0569444444408873</v>
      </c>
      <c r="X4" s="12" t="e">
        <f>INDEX(#REF!,MATCH(WEEKDAY(CannedFlights[[#This Row],[Date]],1),#REF!,0))</f>
        <v>#REF!</v>
      </c>
      <c r="Y4" s="11" t="s">
        <v>110</v>
      </c>
      <c r="Z4" s="12">
        <f>IF(CannedFlights[[#This Row],[Arrival Date]]&lt;&gt;CannedFlights[[#This Row],[Date]],1,0)</f>
        <v>1</v>
      </c>
      <c r="AA4" s="12">
        <f>IF(OR(CannedFlights[[#This Row],[Departure Airport]]="IAD",CannedFlights[[#This Row],[Arrival Airport]]="IAD"),1,0)</f>
        <v>1</v>
      </c>
      <c r="AB4" s="31" t="str">
        <f>INDEX(Table18[iataAirportCode],MATCH(CannedFlights[[#This Row],[Departure Airport]],Table18[iataAirportCode],0))</f>
        <v>IAD</v>
      </c>
      <c r="AC4" s="31" t="str">
        <f>INDEX(Table18[iataAirportCode],MATCH(CannedFlights[[#This Row],[Departure Airport]],Table18[iataAirportCode],0))</f>
        <v>IAD</v>
      </c>
      <c r="AE4" s="11"/>
      <c r="AF4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111"/>
  <dimension ref="A1:B27"/>
  <sheetViews>
    <sheetView zoomScale="117" zoomScaleNormal="80" workbookViewId="0">
      <selection activeCell="B3" sqref="B3"/>
    </sheetView>
  </sheetViews>
  <sheetFormatPr defaultColWidth="8.77734375" defaultRowHeight="14.4" x14ac:dyDescent="0.3"/>
  <cols>
    <col min="1" max="1" width="27.77734375" bestFit="1" customWidth="1"/>
    <col min="2" max="2" width="12.33203125" style="1" bestFit="1" customWidth="1"/>
  </cols>
  <sheetData>
    <row r="1" spans="1:2" ht="15" thickBot="1" x14ac:dyDescent="0.35">
      <c r="A1" s="51" t="s">
        <v>6184</v>
      </c>
      <c r="B1" s="73"/>
    </row>
    <row r="2" spans="1:2" x14ac:dyDescent="0.3">
      <c r="A2" s="44" t="s">
        <v>227</v>
      </c>
      <c r="B2" s="74">
        <f>Home!$C$47+1</f>
        <v>11</v>
      </c>
    </row>
    <row r="3" spans="1:2" x14ac:dyDescent="0.3">
      <c r="A3" s="44" t="s">
        <v>6210</v>
      </c>
      <c r="B3" s="74">
        <f>Home!$C$47</f>
        <v>10</v>
      </c>
    </row>
    <row r="4" spans="1:2" x14ac:dyDescent="0.3">
      <c r="A4" s="44" t="s">
        <v>6211</v>
      </c>
      <c r="B4" s="74" t="str">
        <f ca="1">Home!$C$124</f>
        <v>20519</v>
      </c>
    </row>
    <row r="5" spans="1:2" x14ac:dyDescent="0.3">
      <c r="A5" s="44" t="s">
        <v>6212</v>
      </c>
      <c r="B5" s="74">
        <f>Home!$C$22</f>
        <v>0</v>
      </c>
    </row>
    <row r="6" spans="1:2" x14ac:dyDescent="0.3">
      <c r="A6" s="44" t="s">
        <v>6213</v>
      </c>
      <c r="B6" s="74" t="str">
        <f ca="1">Home!$C$124</f>
        <v>20519</v>
      </c>
    </row>
    <row r="7" spans="1:2" x14ac:dyDescent="0.3">
      <c r="A7" s="44" t="s">
        <v>6214</v>
      </c>
      <c r="B7" s="74">
        <f ca="1">Home!$C$23</f>
        <v>3</v>
      </c>
    </row>
    <row r="8" spans="1:2" x14ac:dyDescent="0.3">
      <c r="A8" s="44" t="s">
        <v>6224</v>
      </c>
      <c r="B8" s="74" t="b">
        <v>1</v>
      </c>
    </row>
    <row r="9" spans="1:2" x14ac:dyDescent="0.3">
      <c r="A9" s="44" t="s">
        <v>6227</v>
      </c>
      <c r="B9" s="74"/>
    </row>
    <row r="10" spans="1:2" x14ac:dyDescent="0.3">
      <c r="A10" s="44" t="s">
        <v>6269</v>
      </c>
      <c r="B10" s="74"/>
    </row>
    <row r="11" spans="1:2" x14ac:dyDescent="0.3">
      <c r="A11" s="44" t="s">
        <v>6277</v>
      </c>
      <c r="B11" s="74">
        <v>225</v>
      </c>
    </row>
    <row r="12" spans="1:2" ht="15" thickBot="1" x14ac:dyDescent="0.35">
      <c r="A12" s="51" t="s">
        <v>6185</v>
      </c>
      <c r="B12" s="73"/>
    </row>
    <row r="13" spans="1:2" ht="21" x14ac:dyDescent="0.3">
      <c r="A13" s="42" t="s">
        <v>6120</v>
      </c>
      <c r="B13" s="75" t="s">
        <v>1107</v>
      </c>
    </row>
    <row r="14" spans="1:2" x14ac:dyDescent="0.3">
      <c r="A14" s="41"/>
    </row>
    <row r="15" spans="1:2" x14ac:dyDescent="0.3">
      <c r="A15" s="41" t="s">
        <v>6145</v>
      </c>
    </row>
    <row r="16" spans="1:2" x14ac:dyDescent="0.3">
      <c r="A16" s="41"/>
    </row>
    <row r="17" spans="1:2" x14ac:dyDescent="0.3">
      <c r="A17" s="41" t="s">
        <v>6147</v>
      </c>
    </row>
    <row r="18" spans="1:2" x14ac:dyDescent="0.3">
      <c r="A18" s="41" t="s">
        <v>6148</v>
      </c>
    </row>
    <row r="20" spans="1:2" x14ac:dyDescent="0.3">
      <c r="A20" t="s">
        <v>6178</v>
      </c>
    </row>
    <row r="21" spans="1:2" x14ac:dyDescent="0.3">
      <c r="A21" s="47" t="s">
        <v>6128</v>
      </c>
      <c r="B21" s="76">
        <v>60</v>
      </c>
    </row>
    <row r="22" spans="1:2" x14ac:dyDescent="0.3">
      <c r="A22" s="44" t="s">
        <v>6131</v>
      </c>
      <c r="B22" s="77">
        <f ca="1">configSettings!B21-Home!C125-Home!C126</f>
        <v>47</v>
      </c>
    </row>
    <row r="23" spans="1:2" x14ac:dyDescent="0.3">
      <c r="A23" s="44"/>
      <c r="B23" s="77"/>
    </row>
    <row r="24" spans="1:2" x14ac:dyDescent="0.3">
      <c r="A24" t="s">
        <v>6311</v>
      </c>
    </row>
    <row r="25" spans="1:2" x14ac:dyDescent="0.3">
      <c r="A25" s="41" t="s">
        <v>6310</v>
      </c>
      <c r="B25" s="76" t="s">
        <v>6313</v>
      </c>
    </row>
    <row r="26" spans="1:2" x14ac:dyDescent="0.3">
      <c r="A26" s="41" t="s">
        <v>6312</v>
      </c>
      <c r="B26" s="76" t="s">
        <v>152</v>
      </c>
    </row>
    <row r="27" spans="1:2" x14ac:dyDescent="0.3">
      <c r="A27" t="s">
        <v>6320</v>
      </c>
      <c r="B27" s="76">
        <v>17037919383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111111">
    <tabColor theme="7"/>
  </sheetPr>
  <dimension ref="A1:J213"/>
  <sheetViews>
    <sheetView topLeftCell="A191" zoomScale="70" zoomScaleNormal="70" workbookViewId="0">
      <selection activeCell="I218" sqref="I218"/>
    </sheetView>
  </sheetViews>
  <sheetFormatPr defaultColWidth="8.77734375" defaultRowHeight="14.4" x14ac:dyDescent="0.3"/>
  <cols>
    <col min="1" max="1" width="17.33203125" customWidth="1"/>
    <col min="2" max="2" width="8.109375" style="34" bestFit="1" customWidth="1"/>
    <col min="3" max="3" width="12.109375" customWidth="1"/>
    <col min="4" max="4" width="9.109375" style="35"/>
    <col min="8" max="8" width="156" bestFit="1" customWidth="1"/>
    <col min="9" max="9" width="9.77734375" bestFit="1" customWidth="1"/>
    <col min="10" max="10" width="20.109375" bestFit="1" customWidth="1"/>
  </cols>
  <sheetData>
    <row r="1" spans="1:10" x14ac:dyDescent="0.3">
      <c r="A1" t="s">
        <v>273</v>
      </c>
      <c r="B1" s="34" t="s">
        <v>275</v>
      </c>
      <c r="C1" t="s">
        <v>274</v>
      </c>
      <c r="D1" s="35" t="s">
        <v>276</v>
      </c>
      <c r="E1" t="s">
        <v>6121</v>
      </c>
      <c r="F1" t="s">
        <v>6122</v>
      </c>
      <c r="G1" t="s">
        <v>21</v>
      </c>
      <c r="H1" t="s">
        <v>6123</v>
      </c>
      <c r="I1" t="s">
        <v>6124</v>
      </c>
      <c r="J1" t="s">
        <v>6125</v>
      </c>
    </row>
    <row r="2" spans="1:10" x14ac:dyDescent="0.3">
      <c r="A2" t="s">
        <v>149</v>
      </c>
      <c r="B2" s="34" t="str">
        <f>IF(Table18[[#This Row],[gmtOffset]]&gt;0,"+",IF(Table18[[#This Row],[gmtOffset]]=0,"","-"))</f>
        <v>+</v>
      </c>
      <c r="C2">
        <v>3</v>
      </c>
      <c r="D2" s="35">
        <f>Table18[[#This Row],[gmtOffset]]/24</f>
        <v>0.125</v>
      </c>
      <c r="E2">
        <f>COUNTIFS(Table18[iataAirportCode],"="&amp;Table18[[#This Row],[iataAirportCode]])</f>
        <v>1</v>
      </c>
      <c r="F2" t="b">
        <f>ISBLANK(Table18[[#This Row],[gmtOffset]])</f>
        <v>0</v>
      </c>
      <c r="G2" t="str">
        <f>IF(AND(Table18[[#This Row],[isblank]]=TRUE,Table18[[#This Row],[count]]&gt;1),"delete","")</f>
        <v/>
      </c>
      <c r="H2" s="2"/>
      <c r="I2" s="2">
        <f>IF(ISBLANK(Table18[[#This Row],[gmtOffset]]),Table18[[#This Row],[utcOffsetLookup]],Table18[[#This Row],[gmtOffset]])</f>
        <v>3</v>
      </c>
      <c r="J2" s="2">
        <v>3</v>
      </c>
    </row>
    <row r="3" spans="1:10" x14ac:dyDescent="0.3">
      <c r="A3" t="s">
        <v>236</v>
      </c>
      <c r="B3" s="34" t="str">
        <f>IF(Table18[[#This Row],[gmtOffset]]&gt;0,"+",IF(Table18[[#This Row],[gmtOffset]]=0,"","-"))</f>
        <v>+</v>
      </c>
      <c r="C3">
        <v>3</v>
      </c>
      <c r="D3" s="35">
        <f>Table18[[#This Row],[gmtOffset]]/24</f>
        <v>0.125</v>
      </c>
      <c r="E3">
        <f>COUNTIFS(Table18[iataAirportCode],"="&amp;Table18[[#This Row],[iataAirportCode]])</f>
        <v>1</v>
      </c>
      <c r="F3" t="b">
        <f>ISBLANK(Table18[[#This Row],[gmtOffset]])</f>
        <v>0</v>
      </c>
      <c r="G3" t="str">
        <f>IF(AND(Table18[[#This Row],[isblank]]=TRUE,Table18[[#This Row],[count]]&gt;1),"delete","")</f>
        <v/>
      </c>
      <c r="H3" s="2"/>
      <c r="I3" s="2">
        <f>IF(ISBLANK(Table18[[#This Row],[gmtOffset]]),Table18[[#This Row],[utcOffsetLookup]],Table18[[#This Row],[gmtOffset]])</f>
        <v>3</v>
      </c>
      <c r="J3" s="2">
        <v>3</v>
      </c>
    </row>
    <row r="4" spans="1:10" x14ac:dyDescent="0.3">
      <c r="A4" t="s">
        <v>75</v>
      </c>
      <c r="B4" s="34" t="str">
        <f>IF(Table18[[#This Row],[gmtOffset]]&gt;0,"+",IF(Table18[[#This Row],[gmtOffset]]=0,"","-"))</f>
        <v>+</v>
      </c>
      <c r="C4">
        <v>4</v>
      </c>
      <c r="D4" s="35">
        <f>Table18[[#This Row],[gmtOffset]]/24</f>
        <v>0.16666666666666666</v>
      </c>
      <c r="E4">
        <f>COUNTIFS(Table18[iataAirportCode],"="&amp;Table18[[#This Row],[iataAirportCode]])</f>
        <v>1</v>
      </c>
      <c r="F4" t="b">
        <f>ISBLANK(Table18[[#This Row],[gmtOffset]])</f>
        <v>0</v>
      </c>
      <c r="G4" t="str">
        <f>IF(AND(Table18[[#This Row],[isblank]]=TRUE,Table18[[#This Row],[count]]&gt;1),"delete","")</f>
        <v/>
      </c>
      <c r="H4" s="2"/>
      <c r="I4" s="2">
        <f>IF(ISBLANK(Table18[[#This Row],[gmtOffset]]),Table18[[#This Row],[utcOffsetLookup]],Table18[[#This Row],[gmtOffset]])</f>
        <v>4</v>
      </c>
      <c r="J4" s="2">
        <v>4</v>
      </c>
    </row>
    <row r="5" spans="1:10" x14ac:dyDescent="0.3">
      <c r="A5" t="s">
        <v>239</v>
      </c>
      <c r="B5" s="34" t="str">
        <f>IF(Table18[[#This Row],[gmtOffset]]&gt;0,"+",IF(Table18[[#This Row],[gmtOffset]]=0,"","-"))</f>
        <v>+</v>
      </c>
      <c r="C5">
        <v>2</v>
      </c>
      <c r="D5" s="35">
        <f>Table18[[#This Row],[gmtOffset]]/24</f>
        <v>8.3333333333333329E-2</v>
      </c>
      <c r="E5">
        <f>COUNTIFS(Table18[iataAirportCode],"="&amp;Table18[[#This Row],[iataAirportCode]])</f>
        <v>1</v>
      </c>
      <c r="F5" t="b">
        <f>ISBLANK(Table18[[#This Row],[gmtOffset]])</f>
        <v>0</v>
      </c>
      <c r="G5" t="str">
        <f>IF(AND(Table18[[#This Row],[isblank]]=TRUE,Table18[[#This Row],[count]]&gt;1),"delete","")</f>
        <v/>
      </c>
      <c r="H5" s="2"/>
      <c r="I5" s="2">
        <f>IF(ISBLANK(Table18[[#This Row],[gmtOffset]]),Table18[[#This Row],[utcOffsetLookup]],Table18[[#This Row],[gmtOffset]])</f>
        <v>2</v>
      </c>
      <c r="J5" s="2">
        <v>2</v>
      </c>
    </row>
    <row r="6" spans="1:10" x14ac:dyDescent="0.3">
      <c r="A6" t="s">
        <v>151</v>
      </c>
      <c r="B6" s="34" t="str">
        <f>IF(Table18[[#This Row],[gmtOffset]]&gt;0,"+",IF(Table18[[#This Row],[gmtOffset]]=0,"","-"))</f>
        <v>+</v>
      </c>
      <c r="C6">
        <v>4</v>
      </c>
      <c r="D6" s="35">
        <f>Table18[[#This Row],[gmtOffset]]/24</f>
        <v>0.16666666666666666</v>
      </c>
      <c r="E6">
        <f>COUNTIFS(Table18[iataAirportCode],"="&amp;Table18[[#This Row],[iataAirportCode]])</f>
        <v>1</v>
      </c>
      <c r="F6" t="b">
        <f>ISBLANK(Table18[[#This Row],[gmtOffset]])</f>
        <v>0</v>
      </c>
      <c r="G6" t="str">
        <f>IF(AND(Table18[[#This Row],[isblank]]=TRUE,Table18[[#This Row],[count]]&gt;1),"delete","")</f>
        <v/>
      </c>
      <c r="H6" s="2"/>
      <c r="I6" s="2">
        <f>IF(ISBLANK(Table18[[#This Row],[gmtOffset]]),Table18[[#This Row],[utcOffsetLookup]],Table18[[#This Row],[gmtOffset]])</f>
        <v>4</v>
      </c>
      <c r="J6" s="2">
        <v>4</v>
      </c>
    </row>
    <row r="7" spans="1:10" x14ac:dyDescent="0.3">
      <c r="A7" t="s">
        <v>212</v>
      </c>
      <c r="B7" s="34" t="str">
        <f>IF(Table18[[#This Row],[gmtOffset]]&gt;0,"+",IF(Table18[[#This Row],[gmtOffset]]=0,"","-"))</f>
        <v>+</v>
      </c>
      <c r="C7">
        <v>3</v>
      </c>
      <c r="D7" s="35">
        <f>Table18[[#This Row],[gmtOffset]]/24</f>
        <v>0.125</v>
      </c>
      <c r="E7">
        <f>COUNTIFS(Table18[iataAirportCode],"="&amp;Table18[[#This Row],[iataAirportCode]])</f>
        <v>1</v>
      </c>
      <c r="F7" t="b">
        <f>ISBLANK(Table18[[#This Row],[gmtOffset]])</f>
        <v>0</v>
      </c>
      <c r="G7" t="str">
        <f>IF(AND(Table18[[#This Row],[isblank]]=TRUE,Table18[[#This Row],[count]]&gt;1),"delete","")</f>
        <v/>
      </c>
      <c r="H7" s="2"/>
      <c r="I7" s="2">
        <f>IF(ISBLANK(Table18[[#This Row],[gmtOffset]]),Table18[[#This Row],[utcOffsetLookup]],Table18[[#This Row],[gmtOffset]])</f>
        <v>3</v>
      </c>
      <c r="J7" s="2">
        <v>3</v>
      </c>
    </row>
    <row r="8" spans="1:10" x14ac:dyDescent="0.3">
      <c r="A8" t="s">
        <v>237</v>
      </c>
      <c r="B8" s="34" t="str">
        <f>IF(Table18[[#This Row],[gmtOffset]]&gt;0,"+",IF(Table18[[#This Row],[gmtOffset]]=0,"","-"))</f>
        <v>+</v>
      </c>
      <c r="C8">
        <v>3</v>
      </c>
      <c r="D8" s="35">
        <f>Table18[[#This Row],[gmtOffset]]/24</f>
        <v>0.125</v>
      </c>
      <c r="E8">
        <f>COUNTIFS(Table18[iataAirportCode],"="&amp;Table18[[#This Row],[iataAirportCode]])</f>
        <v>1</v>
      </c>
      <c r="F8" t="b">
        <f>ISBLANK(Table18[[#This Row],[gmtOffset]])</f>
        <v>0</v>
      </c>
      <c r="G8" t="str">
        <f>IF(AND(Table18[[#This Row],[isblank]]=TRUE,Table18[[#This Row],[count]]&gt;1),"delete","")</f>
        <v/>
      </c>
      <c r="H8" s="2"/>
      <c r="I8" s="2">
        <f>IF(ISBLANK(Table18[[#This Row],[gmtOffset]]),Table18[[#This Row],[utcOffsetLookup]],Table18[[#This Row],[gmtOffset]])</f>
        <v>3</v>
      </c>
      <c r="J8" s="2">
        <v>3</v>
      </c>
    </row>
    <row r="9" spans="1:10" x14ac:dyDescent="0.3">
      <c r="A9" t="s">
        <v>240</v>
      </c>
      <c r="B9" s="34" t="str">
        <f>IF(Table18[[#This Row],[gmtOffset]]&gt;0,"+",IF(Table18[[#This Row],[gmtOffset]]=0,"","-"))</f>
        <v>+</v>
      </c>
      <c r="C9">
        <v>2</v>
      </c>
      <c r="D9" s="35">
        <f>Table18[[#This Row],[gmtOffset]]/24</f>
        <v>8.3333333333333329E-2</v>
      </c>
      <c r="E9">
        <f>COUNTIFS(Table18[iataAirportCode],"="&amp;Table18[[#This Row],[iataAirportCode]])</f>
        <v>1</v>
      </c>
      <c r="F9" t="b">
        <f>ISBLANK(Table18[[#This Row],[gmtOffset]])</f>
        <v>0</v>
      </c>
      <c r="G9" t="str">
        <f>IF(AND(Table18[[#This Row],[isblank]]=TRUE,Table18[[#This Row],[count]]&gt;1),"delete","")</f>
        <v/>
      </c>
      <c r="H9" s="2"/>
      <c r="I9" s="2">
        <f>IF(ISBLANK(Table18[[#This Row],[gmtOffset]]),Table18[[#This Row],[utcOffsetLookup]],Table18[[#This Row],[gmtOffset]])</f>
        <v>2</v>
      </c>
      <c r="J9" s="2">
        <v>2</v>
      </c>
    </row>
    <row r="10" spans="1:10" x14ac:dyDescent="0.3">
      <c r="A10" t="s">
        <v>152</v>
      </c>
      <c r="B10" s="34" t="str">
        <f>IF(Table18[[#This Row],[gmtOffset]]&gt;0,"+",IF(Table18[[#This Row],[gmtOffset]]=0,"","-"))</f>
        <v>+</v>
      </c>
      <c r="C10">
        <v>1</v>
      </c>
      <c r="D10" s="35">
        <f>Table18[[#This Row],[gmtOffset]]/24</f>
        <v>4.1666666666666664E-2</v>
      </c>
      <c r="E10">
        <f>COUNTIFS(Table18[iataAirportCode],"="&amp;Table18[[#This Row],[iataAirportCode]])</f>
        <v>1</v>
      </c>
      <c r="F10" t="b">
        <f>ISBLANK(Table18[[#This Row],[gmtOffset]])</f>
        <v>0</v>
      </c>
      <c r="G10" t="str">
        <f>IF(AND(Table18[[#This Row],[isblank]]=TRUE,Table18[[#This Row],[count]]&gt;1),"delete","")</f>
        <v/>
      </c>
      <c r="H10" s="2"/>
      <c r="I10" s="2">
        <f>IF(ISBLANK(Table18[[#This Row],[gmtOffset]]),Table18[[#This Row],[utcOffsetLookup]],Table18[[#This Row],[gmtOffset]])</f>
        <v>1</v>
      </c>
      <c r="J10" s="2">
        <v>1</v>
      </c>
    </row>
    <row r="11" spans="1:10" x14ac:dyDescent="0.3">
      <c r="A11" t="s">
        <v>241</v>
      </c>
      <c r="B11" s="34" t="str">
        <f>IF(Table18[[#This Row],[gmtOffset]]&gt;0,"+",IF(Table18[[#This Row],[gmtOffset]]=0,"","-"))</f>
        <v>+</v>
      </c>
      <c r="C11">
        <v>3</v>
      </c>
      <c r="D11" s="35">
        <f>Table18[[#This Row],[gmtOffset]]/24</f>
        <v>0.125</v>
      </c>
      <c r="E11">
        <f>COUNTIFS(Table18[iataAirportCode],"="&amp;Table18[[#This Row],[iataAirportCode]])</f>
        <v>1</v>
      </c>
      <c r="F11" t="b">
        <f>ISBLANK(Table18[[#This Row],[gmtOffset]])</f>
        <v>0</v>
      </c>
      <c r="G11" t="str">
        <f>IF(AND(Table18[[#This Row],[isblank]]=TRUE,Table18[[#This Row],[count]]&gt;1),"delete","")</f>
        <v/>
      </c>
      <c r="H11" s="2"/>
      <c r="I11" s="2">
        <f>IF(ISBLANK(Table18[[#This Row],[gmtOffset]]),Table18[[#This Row],[utcOffsetLookup]],Table18[[#This Row],[gmtOffset]])</f>
        <v>3</v>
      </c>
      <c r="J11" s="2">
        <v>3</v>
      </c>
    </row>
    <row r="12" spans="1:10" x14ac:dyDescent="0.3">
      <c r="A12" t="s">
        <v>135</v>
      </c>
      <c r="B12" s="34" t="str">
        <f>IF(Table18[[#This Row],[gmtOffset]]&gt;0,"+",IF(Table18[[#This Row],[gmtOffset]]=0,"","-"))</f>
        <v>+</v>
      </c>
      <c r="C12">
        <v>9</v>
      </c>
      <c r="D12" s="35">
        <f>Table18[[#This Row],[gmtOffset]]/24</f>
        <v>0.375</v>
      </c>
      <c r="E12">
        <f>COUNTIFS(Table18[iataAirportCode],"="&amp;Table18[[#This Row],[iataAirportCode]])</f>
        <v>1</v>
      </c>
      <c r="F12" t="b">
        <f>ISBLANK(Table18[[#This Row],[gmtOffset]])</f>
        <v>0</v>
      </c>
      <c r="G12" t="str">
        <f>IF(AND(Table18[[#This Row],[isblank]]=TRUE,Table18[[#This Row],[count]]&gt;1),"delete","")</f>
        <v/>
      </c>
      <c r="H12" s="2"/>
      <c r="I12" s="2">
        <f>IF(ISBLANK(Table18[[#This Row],[gmtOffset]]),Table18[[#This Row],[utcOffsetLookup]],Table18[[#This Row],[gmtOffset]])</f>
        <v>9</v>
      </c>
      <c r="J12" s="2">
        <v>9</v>
      </c>
    </row>
    <row r="13" spans="1:10" x14ac:dyDescent="0.3">
      <c r="A13" t="s">
        <v>95</v>
      </c>
      <c r="B13" s="34" t="str">
        <f>IF(Table18[[#This Row],[gmtOffset]]&gt;0,"+",IF(Table18[[#This Row],[gmtOffset]]=0,"","-"))</f>
        <v/>
      </c>
      <c r="C13">
        <v>0</v>
      </c>
      <c r="D13" s="35">
        <f>Table18[[#This Row],[gmtOffset]]/24</f>
        <v>0</v>
      </c>
      <c r="E13">
        <f>COUNTIFS(Table18[iataAirportCode],"="&amp;Table18[[#This Row],[iataAirportCode]])</f>
        <v>1</v>
      </c>
      <c r="F13" t="b">
        <f>ISBLANK(Table18[[#This Row],[gmtOffset]])</f>
        <v>0</v>
      </c>
      <c r="G13" t="str">
        <f>IF(AND(Table18[[#This Row],[isblank]]=TRUE,Table18[[#This Row],[count]]&gt;1),"delete","")</f>
        <v/>
      </c>
      <c r="H13" s="2"/>
      <c r="I13" s="2">
        <f>IF(ISBLANK(Table18[[#This Row],[gmtOffset]]),Table18[[#This Row],[utcOffsetLookup]],Table18[[#This Row],[gmtOffset]])</f>
        <v>0</v>
      </c>
      <c r="J13" s="2">
        <v>0</v>
      </c>
    </row>
    <row r="14" spans="1:10" x14ac:dyDescent="0.3">
      <c r="A14" t="s">
        <v>206</v>
      </c>
      <c r="B14" s="34" t="str">
        <f>IF(Table18[[#This Row],[gmtOffset]]&gt;0,"+",IF(Table18[[#This Row],[gmtOffset]]=0,"","-"))</f>
        <v>-</v>
      </c>
      <c r="C14">
        <v>-8</v>
      </c>
      <c r="D14" s="35">
        <f>Table18[[#This Row],[gmtOffset]]/24</f>
        <v>-0.33333333333333331</v>
      </c>
      <c r="E14">
        <f>COUNTIFS(Table18[iataAirportCode],"="&amp;Table18[[#This Row],[iataAirportCode]])</f>
        <v>1</v>
      </c>
      <c r="F14" t="b">
        <f>ISBLANK(Table18[[#This Row],[gmtOffset]])</f>
        <v>0</v>
      </c>
      <c r="G14" t="str">
        <f>IF(AND(Table18[[#This Row],[isblank]]=TRUE,Table18[[#This Row],[count]]&gt;1),"delete","")</f>
        <v/>
      </c>
      <c r="H14" s="2"/>
      <c r="I14" s="2">
        <f>IF(ISBLANK(Table18[[#This Row],[gmtOffset]]),Table18[[#This Row],[utcOffsetLookup]],Table18[[#This Row],[gmtOffset]])</f>
        <v>-8</v>
      </c>
      <c r="J14" s="2">
        <v>-8</v>
      </c>
    </row>
    <row r="15" spans="1:10" x14ac:dyDescent="0.3">
      <c r="A15" t="s">
        <v>94</v>
      </c>
      <c r="B15" s="34" t="str">
        <f>IF(Table18[[#This Row],[gmtOffset]]&gt;0,"+",IF(Table18[[#This Row],[gmtOffset]]=0,"","-"))</f>
        <v>-</v>
      </c>
      <c r="C15">
        <v>-5</v>
      </c>
      <c r="D15" s="35">
        <f>Table18[[#This Row],[gmtOffset]]/24</f>
        <v>-0.20833333333333334</v>
      </c>
      <c r="E15">
        <f>COUNTIFS(Table18[iataAirportCode],"="&amp;Table18[[#This Row],[iataAirportCode]])</f>
        <v>1</v>
      </c>
      <c r="F15" t="b">
        <f>ISBLANK(Table18[[#This Row],[gmtOffset]])</f>
        <v>0</v>
      </c>
      <c r="G15" t="str">
        <f>IF(AND(Table18[[#This Row],[isblank]]=TRUE,Table18[[#This Row],[count]]&gt;1),"delete","")</f>
        <v/>
      </c>
      <c r="H15" s="2"/>
      <c r="I15" s="2">
        <f>IF(ISBLANK(Table18[[#This Row],[gmtOffset]]),Table18[[#This Row],[utcOffsetLookup]],Table18[[#This Row],[gmtOffset]])</f>
        <v>-5</v>
      </c>
      <c r="J15" s="2">
        <v>-5</v>
      </c>
    </row>
    <row r="16" spans="1:10" x14ac:dyDescent="0.3">
      <c r="A16" t="s">
        <v>134</v>
      </c>
      <c r="B16" s="34" t="str">
        <f>IF(Table18[[#This Row],[gmtOffset]]&gt;0,"+",IF(Table18[[#This Row],[gmtOffset]]=0,"","-"))</f>
        <v>+</v>
      </c>
      <c r="C16">
        <v>1</v>
      </c>
      <c r="D16" s="35">
        <f>Table18[[#This Row],[gmtOffset]]/24</f>
        <v>4.1666666666666664E-2</v>
      </c>
      <c r="E16">
        <f>COUNTIFS(Table18[iataAirportCode],"="&amp;Table18[[#This Row],[iataAirportCode]])</f>
        <v>1</v>
      </c>
      <c r="F16" t="b">
        <f>ISBLANK(Table18[[#This Row],[gmtOffset]])</f>
        <v>0</v>
      </c>
      <c r="G16" t="str">
        <f>IF(AND(Table18[[#This Row],[isblank]]=TRUE,Table18[[#This Row],[count]]&gt;1),"delete","")</f>
        <v/>
      </c>
      <c r="H16" s="2"/>
      <c r="I16" s="2">
        <f>IF(ISBLANK(Table18[[#This Row],[gmtOffset]]),Table18[[#This Row],[utcOffsetLookup]],Table18[[#This Row],[gmtOffset]])</f>
        <v>1</v>
      </c>
      <c r="J16" s="2">
        <v>1</v>
      </c>
    </row>
    <row r="17" spans="1:10" x14ac:dyDescent="0.3">
      <c r="A17" t="s">
        <v>146</v>
      </c>
      <c r="B17" s="34" t="str">
        <f>IF(Table18[[#This Row],[gmtOffset]]&gt;0,"+",IF(Table18[[#This Row],[gmtOffset]]=0,"","-"))</f>
        <v/>
      </c>
      <c r="C17">
        <v>0</v>
      </c>
      <c r="D17" s="35">
        <f>Table18[[#This Row],[gmtOffset]]/24</f>
        <v>0</v>
      </c>
      <c r="E17">
        <f>COUNTIFS(Table18[iataAirportCode],"="&amp;Table18[[#This Row],[iataAirportCode]])</f>
        <v>1</v>
      </c>
      <c r="F17" t="b">
        <f>ISBLANK(Table18[[#This Row],[gmtOffset]])</f>
        <v>0</v>
      </c>
      <c r="G17" t="str">
        <f>IF(AND(Table18[[#This Row],[isblank]]=TRUE,Table18[[#This Row],[count]]&gt;1),"delete","")</f>
        <v/>
      </c>
      <c r="H17" s="2"/>
      <c r="I17" s="2">
        <f>IF(ISBLANK(Table18[[#This Row],[gmtOffset]]),Table18[[#This Row],[utcOffsetLookup]],Table18[[#This Row],[gmtOffset]])</f>
        <v>0</v>
      </c>
      <c r="J17" s="2">
        <v>0</v>
      </c>
    </row>
    <row r="18" spans="1:10" x14ac:dyDescent="0.3">
      <c r="A18" t="s">
        <v>137</v>
      </c>
      <c r="B18" s="34" t="str">
        <f>IF(Table18[[#This Row],[gmtOffset]]&gt;0,"+",IF(Table18[[#This Row],[gmtOffset]]=0,"","-"))</f>
        <v>-</v>
      </c>
      <c r="C18">
        <v>-2</v>
      </c>
      <c r="D18" s="35">
        <f>Table18[[#This Row],[gmtOffset]]/24</f>
        <v>-8.3333333333333329E-2</v>
      </c>
      <c r="E18">
        <f>COUNTIFS(Table18[iataAirportCode],"="&amp;Table18[[#This Row],[iataAirportCode]])</f>
        <v>1</v>
      </c>
      <c r="F18" t="b">
        <f>ISBLANK(Table18[[#This Row],[gmtOffset]])</f>
        <v>0</v>
      </c>
      <c r="G18" t="str">
        <f>IF(AND(Table18[[#This Row],[isblank]]=TRUE,Table18[[#This Row],[count]]&gt;1),"delete","")</f>
        <v/>
      </c>
      <c r="H18" s="2"/>
      <c r="I18" s="2">
        <f>IF(ISBLANK(Table18[[#This Row],[gmtOffset]]),Table18[[#This Row],[utcOffsetLookup]],Table18[[#This Row],[gmtOffset]])</f>
        <v>-2</v>
      </c>
      <c r="J18" s="2">
        <v>-2</v>
      </c>
    </row>
    <row r="19" spans="1:10" x14ac:dyDescent="0.3">
      <c r="A19" t="s">
        <v>2</v>
      </c>
      <c r="B19" s="34" t="str">
        <f>IF(Table18[[#This Row],[gmtOffset]]&gt;0,"+",IF(Table18[[#This Row],[gmtOffset]]=0,"","-"))</f>
        <v>+</v>
      </c>
      <c r="C19">
        <v>1</v>
      </c>
      <c r="D19" s="35">
        <f>Table18[[#This Row],[gmtOffset]]/24</f>
        <v>4.1666666666666664E-2</v>
      </c>
      <c r="E19">
        <f>COUNTIFS(Table18[iataAirportCode],"="&amp;Table18[[#This Row],[iataAirportCode]])</f>
        <v>1</v>
      </c>
      <c r="F19" t="b">
        <f>ISBLANK(Table18[[#This Row],[gmtOffset]])</f>
        <v>0</v>
      </c>
      <c r="G19" t="str">
        <f>IF(AND(Table18[[#This Row],[isblank]]=TRUE,Table18[[#This Row],[count]]&gt;1),"delete","")</f>
        <v/>
      </c>
      <c r="H19" s="2"/>
      <c r="I19" s="2">
        <f>IF(ISBLANK(Table18[[#This Row],[gmtOffset]]),Table18[[#This Row],[utcOffsetLookup]],Table18[[#This Row],[gmtOffset]])</f>
        <v>1</v>
      </c>
      <c r="J19" s="2">
        <v>1</v>
      </c>
    </row>
    <row r="20" spans="1:10" x14ac:dyDescent="0.3">
      <c r="A20" t="s">
        <v>140</v>
      </c>
      <c r="B20" s="34" t="str">
        <f>IF(Table18[[#This Row],[gmtOffset]]&gt;0,"+",IF(Table18[[#This Row],[gmtOffset]]=0,"","-"))</f>
        <v>-</v>
      </c>
      <c r="C20">
        <v>-5</v>
      </c>
      <c r="D20" s="35">
        <f>Table18[[#This Row],[gmtOffset]]/24</f>
        <v>-0.20833333333333334</v>
      </c>
      <c r="E20">
        <f>COUNTIFS(Table18[iataAirportCode],"="&amp;Table18[[#This Row],[iataAirportCode]])</f>
        <v>1</v>
      </c>
      <c r="F20" t="b">
        <f>ISBLANK(Table18[[#This Row],[gmtOffset]])</f>
        <v>0</v>
      </c>
      <c r="G20" t="str">
        <f>IF(AND(Table18[[#This Row],[isblank]]=TRUE,Table18[[#This Row],[count]]&gt;1),"delete","")</f>
        <v/>
      </c>
      <c r="H20" s="2"/>
      <c r="I20" s="2">
        <f>IF(ISBLANK(Table18[[#This Row],[gmtOffset]]),Table18[[#This Row],[utcOffsetLookup]],Table18[[#This Row],[gmtOffset]])</f>
        <v>-5</v>
      </c>
      <c r="J20" s="2">
        <v>-5</v>
      </c>
    </row>
    <row r="21" spans="1:10" x14ac:dyDescent="0.3">
      <c r="A21" t="s">
        <v>116</v>
      </c>
      <c r="B21" s="34" t="str">
        <f>IF(Table18[[#This Row],[gmtOffset]]&gt;0,"+",IF(Table18[[#This Row],[gmtOffset]]=0,"","-"))</f>
        <v>-</v>
      </c>
      <c r="C21">
        <v>-5</v>
      </c>
      <c r="D21" s="35">
        <f>Table18[[#This Row],[gmtOffset]]/24</f>
        <v>-0.20833333333333334</v>
      </c>
      <c r="E21">
        <f>COUNTIFS(Table18[iataAirportCode],"="&amp;Table18[[#This Row],[iataAirportCode]])</f>
        <v>1</v>
      </c>
      <c r="F21" t="b">
        <f>ISBLANK(Table18[[#This Row],[gmtOffset]])</f>
        <v>0</v>
      </c>
      <c r="G21" t="str">
        <f>IF(AND(Table18[[#This Row],[isblank]]=TRUE,Table18[[#This Row],[count]]&gt;1),"delete","")</f>
        <v/>
      </c>
      <c r="H21" s="2"/>
      <c r="I21" s="2">
        <f>IF(ISBLANK(Table18[[#This Row],[gmtOffset]]),Table18[[#This Row],[utcOffsetLookup]],Table18[[#This Row],[gmtOffset]])</f>
        <v>-5</v>
      </c>
      <c r="J21" s="2">
        <v>-5</v>
      </c>
    </row>
    <row r="22" spans="1:10" x14ac:dyDescent="0.3">
      <c r="A22" t="s">
        <v>101</v>
      </c>
      <c r="B22" s="34" t="str">
        <f>IF(Table18[[#This Row],[gmtOffset]]&gt;0,"+",IF(Table18[[#This Row],[gmtOffset]]=0,"","-"))</f>
        <v>+</v>
      </c>
      <c r="C22">
        <v>1</v>
      </c>
      <c r="D22" s="35">
        <f>Table18[[#This Row],[gmtOffset]]/24</f>
        <v>4.1666666666666664E-2</v>
      </c>
      <c r="E22">
        <f>COUNTIFS(Table18[iataAirportCode],"="&amp;Table18[[#This Row],[iataAirportCode]])</f>
        <v>1</v>
      </c>
      <c r="F22" t="b">
        <f>ISBLANK(Table18[[#This Row],[gmtOffset]])</f>
        <v>0</v>
      </c>
      <c r="G22" t="str">
        <f>IF(AND(Table18[[#This Row],[isblank]]=TRUE,Table18[[#This Row],[count]]&gt;1),"delete","")</f>
        <v/>
      </c>
      <c r="H22" s="2"/>
      <c r="I22" s="2">
        <f>IF(ISBLANK(Table18[[#This Row],[gmtOffset]]),Table18[[#This Row],[utcOffsetLookup]],Table18[[#This Row],[gmtOffset]])</f>
        <v>1</v>
      </c>
      <c r="J22" s="2">
        <v>1</v>
      </c>
    </row>
    <row r="23" spans="1:10" x14ac:dyDescent="0.3">
      <c r="A23" t="s">
        <v>235</v>
      </c>
      <c r="B23" s="34" t="str">
        <f>IF(Table18[[#This Row],[gmtOffset]]&gt;0,"+",IF(Table18[[#This Row],[gmtOffset]]=0,"","-"))</f>
        <v>+</v>
      </c>
      <c r="C23">
        <v>1</v>
      </c>
      <c r="D23" s="35">
        <f>Table18[[#This Row],[gmtOffset]]/24</f>
        <v>4.1666666666666664E-2</v>
      </c>
      <c r="E23">
        <f>COUNTIFS(Table18[iataAirportCode],"="&amp;Table18[[#This Row],[iataAirportCode]])</f>
        <v>1</v>
      </c>
      <c r="F23" t="b">
        <f>ISBLANK(Table18[[#This Row],[gmtOffset]])</f>
        <v>0</v>
      </c>
      <c r="G23" t="str">
        <f>IF(AND(Table18[[#This Row],[isblank]]=TRUE,Table18[[#This Row],[count]]&gt;1),"delete","")</f>
        <v/>
      </c>
      <c r="H23" s="2"/>
      <c r="I23" s="2">
        <f>IF(ISBLANK(Table18[[#This Row],[gmtOffset]]),Table18[[#This Row],[utcOffsetLookup]],Table18[[#This Row],[gmtOffset]])</f>
        <v>1</v>
      </c>
      <c r="J23" s="2">
        <v>1</v>
      </c>
    </row>
    <row r="24" spans="1:10" x14ac:dyDescent="0.3">
      <c r="A24" t="s">
        <v>136</v>
      </c>
      <c r="B24" s="34" t="str">
        <f>IF(Table18[[#This Row],[gmtOffset]]&gt;0,"+",IF(Table18[[#This Row],[gmtOffset]]=0,"","-"))</f>
        <v>+</v>
      </c>
      <c r="C24">
        <v>8</v>
      </c>
      <c r="D24" s="35">
        <f>Table18[[#This Row],[gmtOffset]]/24</f>
        <v>0.33333333333333331</v>
      </c>
      <c r="E24">
        <f>COUNTIFS(Table18[iataAirportCode],"="&amp;Table18[[#This Row],[iataAirportCode]])</f>
        <v>1</v>
      </c>
      <c r="F24" t="b">
        <f>ISBLANK(Table18[[#This Row],[gmtOffset]])</f>
        <v>0</v>
      </c>
      <c r="G24" t="str">
        <f>IF(AND(Table18[[#This Row],[isblank]]=TRUE,Table18[[#This Row],[count]]&gt;1),"delete","")</f>
        <v/>
      </c>
      <c r="H24" s="2"/>
      <c r="I24" s="2">
        <f>IF(ISBLANK(Table18[[#This Row],[gmtOffset]]),Table18[[#This Row],[utcOffsetLookup]],Table18[[#This Row],[gmtOffset]])</f>
        <v>8</v>
      </c>
      <c r="J24" s="2">
        <v>8</v>
      </c>
    </row>
    <row r="25" spans="1:10" x14ac:dyDescent="0.3">
      <c r="A25" t="s">
        <v>145</v>
      </c>
      <c r="B25" s="34" t="str">
        <f>IF(Table18[[#This Row],[gmtOffset]]&gt;0,"+",IF(Table18[[#This Row],[gmtOffset]]=0,"","-"))</f>
        <v/>
      </c>
      <c r="C25">
        <v>0</v>
      </c>
      <c r="D25" s="35">
        <f>Table18[[#This Row],[gmtOffset]]/24</f>
        <v>0</v>
      </c>
      <c r="E25">
        <f>COUNTIFS(Table18[iataAirportCode],"="&amp;Table18[[#This Row],[iataAirportCode]])</f>
        <v>1</v>
      </c>
      <c r="F25" t="b">
        <f>ISBLANK(Table18[[#This Row],[gmtOffset]])</f>
        <v>0</v>
      </c>
      <c r="G25" t="str">
        <f>IF(AND(Table18[[#This Row],[isblank]]=TRUE,Table18[[#This Row],[count]]&gt;1),"delete","")</f>
        <v/>
      </c>
      <c r="H25" s="2"/>
      <c r="I25" s="2">
        <f>IF(ISBLANK(Table18[[#This Row],[gmtOffset]]),Table18[[#This Row],[utcOffsetLookup]],Table18[[#This Row],[gmtOffset]])</f>
        <v>0</v>
      </c>
      <c r="J25" s="2">
        <v>0</v>
      </c>
    </row>
    <row r="26" spans="1:10" x14ac:dyDescent="0.3">
      <c r="A26" t="s">
        <v>127</v>
      </c>
      <c r="B26" s="34" t="str">
        <f>IF(Table18[[#This Row],[gmtOffset]]&gt;0,"+",IF(Table18[[#This Row],[gmtOffset]]=0,"","-"))</f>
        <v>+</v>
      </c>
      <c r="C26">
        <v>9</v>
      </c>
      <c r="D26" s="35">
        <f>Table18[[#This Row],[gmtOffset]]/24</f>
        <v>0.375</v>
      </c>
      <c r="E26">
        <f>COUNTIFS(Table18[iataAirportCode],"="&amp;Table18[[#This Row],[iataAirportCode]])</f>
        <v>1</v>
      </c>
      <c r="F26" t="b">
        <f>ISBLANK(Table18[[#This Row],[gmtOffset]])</f>
        <v>0</v>
      </c>
      <c r="G26" t="str">
        <f>IF(AND(Table18[[#This Row],[isblank]]=TRUE,Table18[[#This Row],[count]]&gt;1),"delete","")</f>
        <v/>
      </c>
      <c r="H26" s="2"/>
      <c r="I26" s="2">
        <f>IF(ISBLANK(Table18[[#This Row],[gmtOffset]]),Table18[[#This Row],[utcOffsetLookup]],Table18[[#This Row],[gmtOffset]])</f>
        <v>9</v>
      </c>
      <c r="J26" s="2">
        <v>9</v>
      </c>
    </row>
    <row r="27" spans="1:10" x14ac:dyDescent="0.3">
      <c r="A27" t="s">
        <v>138</v>
      </c>
      <c r="B27" s="34" t="str">
        <f>IF(Table18[[#This Row],[gmtOffset]]&gt;0,"+",IF(Table18[[#This Row],[gmtOffset]]=0,"","-"))</f>
        <v>-</v>
      </c>
      <c r="C27">
        <v>-5</v>
      </c>
      <c r="D27" s="35">
        <f>Table18[[#This Row],[gmtOffset]]/24</f>
        <v>-0.20833333333333334</v>
      </c>
      <c r="E27">
        <f>COUNTIFS(Table18[iataAirportCode],"="&amp;Table18[[#This Row],[iataAirportCode]])</f>
        <v>1</v>
      </c>
      <c r="F27" t="b">
        <f>ISBLANK(Table18[[#This Row],[gmtOffset]])</f>
        <v>0</v>
      </c>
      <c r="G27" t="str">
        <f>IF(AND(Table18[[#This Row],[isblank]]=TRUE,Table18[[#This Row],[count]]&gt;1),"delete","")</f>
        <v/>
      </c>
      <c r="H27" s="2"/>
      <c r="I27" s="2">
        <f>IF(ISBLANK(Table18[[#This Row],[gmtOffset]]),Table18[[#This Row],[utcOffsetLookup]],Table18[[#This Row],[gmtOffset]])</f>
        <v>-5</v>
      </c>
      <c r="J27" s="2">
        <v>-5</v>
      </c>
    </row>
    <row r="28" spans="1:10" x14ac:dyDescent="0.3">
      <c r="A28" t="s">
        <v>139</v>
      </c>
      <c r="B28" s="34" t="str">
        <f>IF(Table18[[#This Row],[gmtOffset]]&gt;0,"+",IF(Table18[[#This Row],[gmtOffset]]=0,"","-"))</f>
        <v>-</v>
      </c>
      <c r="C28">
        <v>-6</v>
      </c>
      <c r="D28" s="35">
        <f>Table18[[#This Row],[gmtOffset]]/24</f>
        <v>-0.25</v>
      </c>
      <c r="E28">
        <f>COUNTIFS(Table18[iataAirportCode],"="&amp;Table18[[#This Row],[iataAirportCode]])</f>
        <v>1</v>
      </c>
      <c r="F28" t="b">
        <f>ISBLANK(Table18[[#This Row],[gmtOffset]])</f>
        <v>0</v>
      </c>
      <c r="G28" t="str">
        <f>IF(AND(Table18[[#This Row],[isblank]]=TRUE,Table18[[#This Row],[count]]&gt;1),"delete","")</f>
        <v/>
      </c>
      <c r="H28" s="2"/>
      <c r="I28" s="2">
        <f>IF(ISBLANK(Table18[[#This Row],[gmtOffset]]),Table18[[#This Row],[utcOffsetLookup]],Table18[[#This Row],[gmtOffset]])</f>
        <v>-6</v>
      </c>
      <c r="J28" s="2">
        <v>-6</v>
      </c>
    </row>
    <row r="29" spans="1:10" x14ac:dyDescent="0.3">
      <c r="A29" t="s">
        <v>141</v>
      </c>
      <c r="B29" s="34" t="str">
        <f>IF(Table18[[#This Row],[gmtOffset]]&gt;0,"+",IF(Table18[[#This Row],[gmtOffset]]=0,"","-"))</f>
        <v>-</v>
      </c>
      <c r="C29">
        <v>-5</v>
      </c>
      <c r="D29" s="35">
        <f>Table18[[#This Row],[gmtOffset]]/24</f>
        <v>-0.20833333333333334</v>
      </c>
      <c r="E29">
        <f>COUNTIFS(Table18[iataAirportCode],"="&amp;Table18[[#This Row],[iataAirportCode]])</f>
        <v>1</v>
      </c>
      <c r="F29" t="b">
        <f>ISBLANK(Table18[[#This Row],[gmtOffset]])</f>
        <v>0</v>
      </c>
      <c r="G29" t="str">
        <f>IF(AND(Table18[[#This Row],[isblank]]=TRUE,Table18[[#This Row],[count]]&gt;1),"delete","")</f>
        <v/>
      </c>
      <c r="H29" s="2"/>
      <c r="I29" s="2">
        <f>IF(ISBLANK(Table18[[#This Row],[gmtOffset]]),Table18[[#This Row],[utcOffsetLookup]],Table18[[#This Row],[gmtOffset]])</f>
        <v>-5</v>
      </c>
      <c r="J29" s="2">
        <v>-5</v>
      </c>
    </row>
    <row r="30" spans="1:10" x14ac:dyDescent="0.3">
      <c r="A30" t="s">
        <v>142</v>
      </c>
      <c r="B30" s="34" t="str">
        <f>IF(Table18[[#This Row],[gmtOffset]]&gt;0,"+",IF(Table18[[#This Row],[gmtOffset]]=0,"","-"))</f>
        <v>-</v>
      </c>
      <c r="C30">
        <v>-5</v>
      </c>
      <c r="D30" s="35">
        <f>Table18[[#This Row],[gmtOffset]]/24</f>
        <v>-0.20833333333333334</v>
      </c>
      <c r="E30">
        <f>COUNTIFS(Table18[iataAirportCode],"="&amp;Table18[[#This Row],[iataAirportCode]])</f>
        <v>1</v>
      </c>
      <c r="F30" t="b">
        <f>ISBLANK(Table18[[#This Row],[gmtOffset]])</f>
        <v>0</v>
      </c>
      <c r="G30" t="str">
        <f>IF(AND(Table18[[#This Row],[isblank]]=TRUE,Table18[[#This Row],[count]]&gt;1),"delete","")</f>
        <v/>
      </c>
      <c r="H30" s="2"/>
      <c r="I30" s="2">
        <f>IF(ISBLANK(Table18[[#This Row],[gmtOffset]]),Table18[[#This Row],[utcOffsetLookup]],Table18[[#This Row],[gmtOffset]])</f>
        <v>-5</v>
      </c>
      <c r="J30" s="2">
        <v>-5</v>
      </c>
    </row>
    <row r="31" spans="1:10" x14ac:dyDescent="0.3">
      <c r="A31" t="s">
        <v>143</v>
      </c>
      <c r="B31" s="34" t="str">
        <f>IF(Table18[[#This Row],[gmtOffset]]&gt;0,"+",IF(Table18[[#This Row],[gmtOffset]]=0,"","-"))</f>
        <v/>
      </c>
      <c r="C31">
        <v>0</v>
      </c>
      <c r="D31" s="35">
        <f>Table18[[#This Row],[gmtOffset]]/24</f>
        <v>0</v>
      </c>
      <c r="E31">
        <f>COUNTIFS(Table18[iataAirportCode],"="&amp;Table18[[#This Row],[iataAirportCode]])</f>
        <v>1</v>
      </c>
      <c r="F31" t="b">
        <f>ISBLANK(Table18[[#This Row],[gmtOffset]])</f>
        <v>0</v>
      </c>
      <c r="G31" t="str">
        <f>IF(AND(Table18[[#This Row],[isblank]]=TRUE,Table18[[#This Row],[count]]&gt;1),"delete","")</f>
        <v/>
      </c>
      <c r="H31" s="2"/>
      <c r="I31" s="2">
        <f>IF(ISBLANK(Table18[[#This Row],[gmtOffset]]),Table18[[#This Row],[utcOffsetLookup]],Table18[[#This Row],[gmtOffset]])</f>
        <v>0</v>
      </c>
      <c r="J31" s="2">
        <v>0</v>
      </c>
    </row>
    <row r="32" spans="1:10" x14ac:dyDescent="0.3">
      <c r="A32" t="s">
        <v>144</v>
      </c>
      <c r="B32" s="34" t="str">
        <f>IF(Table18[[#This Row],[gmtOffset]]&gt;0,"+",IF(Table18[[#This Row],[gmtOffset]]=0,"","-"))</f>
        <v>-</v>
      </c>
      <c r="C32">
        <v>-5</v>
      </c>
      <c r="D32" s="35">
        <f>Table18[[#This Row],[gmtOffset]]/24</f>
        <v>-0.20833333333333334</v>
      </c>
      <c r="E32">
        <f>COUNTIFS(Table18[iataAirportCode],"="&amp;Table18[[#This Row],[iataAirportCode]])</f>
        <v>1</v>
      </c>
      <c r="F32" t="b">
        <f>ISBLANK(Table18[[#This Row],[gmtOffset]])</f>
        <v>0</v>
      </c>
      <c r="G32" t="str">
        <f>IF(AND(Table18[[#This Row],[isblank]]=TRUE,Table18[[#This Row],[count]]&gt;1),"delete","")</f>
        <v/>
      </c>
      <c r="H32" s="2"/>
      <c r="I32" s="2">
        <f>IF(ISBLANK(Table18[[#This Row],[gmtOffset]]),Table18[[#This Row],[utcOffsetLookup]],Table18[[#This Row],[gmtOffset]])</f>
        <v>-5</v>
      </c>
      <c r="J32" s="2">
        <v>-5</v>
      </c>
    </row>
    <row r="33" spans="1:10" x14ac:dyDescent="0.3">
      <c r="A33" t="s">
        <v>147</v>
      </c>
      <c r="B33" s="34" t="str">
        <f>IF(Table18[[#This Row],[gmtOffset]]&gt;0,"+",IF(Table18[[#This Row],[gmtOffset]]=0,"","-"))</f>
        <v/>
      </c>
      <c r="C33">
        <v>0</v>
      </c>
      <c r="D33" s="35">
        <f>Table18[[#This Row],[gmtOffset]]/24</f>
        <v>0</v>
      </c>
      <c r="E33">
        <f>COUNTIFS(Table18[iataAirportCode],"="&amp;Table18[[#This Row],[iataAirportCode]])</f>
        <v>1</v>
      </c>
      <c r="F33" t="b">
        <f>ISBLANK(Table18[[#This Row],[gmtOffset]])</f>
        <v>0</v>
      </c>
      <c r="G33" t="str">
        <f>IF(AND(Table18[[#This Row],[isblank]]=TRUE,Table18[[#This Row],[count]]&gt;1),"delete","")</f>
        <v/>
      </c>
      <c r="H33" s="2"/>
      <c r="I33" s="2">
        <f>IF(ISBLANK(Table18[[#This Row],[gmtOffset]]),Table18[[#This Row],[utcOffsetLookup]],Table18[[#This Row],[gmtOffset]])</f>
        <v>0</v>
      </c>
      <c r="J33" s="2">
        <v>0</v>
      </c>
    </row>
    <row r="34" spans="1:10" x14ac:dyDescent="0.3">
      <c r="A34" t="s">
        <v>76</v>
      </c>
      <c r="B34" s="34" t="str">
        <f>IF(Table18[[#This Row],[gmtOffset]]&gt;0,"+",IF(Table18[[#This Row],[gmtOffset]]=0,"","-"))</f>
        <v>+</v>
      </c>
      <c r="C34">
        <v>3</v>
      </c>
      <c r="D34" s="35">
        <f>Table18[[#This Row],[gmtOffset]]/24</f>
        <v>0.125</v>
      </c>
      <c r="E34">
        <f>COUNTIFS(Table18[iataAirportCode],"="&amp;Table18[[#This Row],[iataAirportCode]])</f>
        <v>1</v>
      </c>
      <c r="F34" t="b">
        <f>ISBLANK(Table18[[#This Row],[gmtOffset]])</f>
        <v>0</v>
      </c>
      <c r="G34" t="str">
        <f>IF(AND(Table18[[#This Row],[isblank]]=TRUE,Table18[[#This Row],[count]]&gt;1),"delete","")</f>
        <v/>
      </c>
      <c r="H34" s="2"/>
      <c r="I34" s="2">
        <f>IF(ISBLANK(Table18[[#This Row],[gmtOffset]]),Table18[[#This Row],[utcOffsetLookup]],Table18[[#This Row],[gmtOffset]])</f>
        <v>3</v>
      </c>
      <c r="J34" s="2">
        <v>3</v>
      </c>
    </row>
    <row r="35" spans="1:10" x14ac:dyDescent="0.3">
      <c r="A35" t="s">
        <v>148</v>
      </c>
      <c r="B35" s="34" t="str">
        <f>IF(Table18[[#This Row],[gmtOffset]]&gt;0,"+",IF(Table18[[#This Row],[gmtOffset]]=0,"","-"))</f>
        <v>+</v>
      </c>
      <c r="C35">
        <v>3</v>
      </c>
      <c r="D35" s="35">
        <f>Table18[[#This Row],[gmtOffset]]/24</f>
        <v>0.125</v>
      </c>
      <c r="E35">
        <f>COUNTIFS(Table18[iataAirportCode],"="&amp;Table18[[#This Row],[iataAirportCode]])</f>
        <v>1</v>
      </c>
      <c r="F35" t="b">
        <f>ISBLANK(Table18[[#This Row],[gmtOffset]])</f>
        <v>0</v>
      </c>
      <c r="G35" t="str">
        <f>IF(AND(Table18[[#This Row],[isblank]]=TRUE,Table18[[#This Row],[count]]&gt;1),"delete","")</f>
        <v/>
      </c>
      <c r="H35" s="2"/>
      <c r="I35" s="2">
        <f>IF(ISBLANK(Table18[[#This Row],[gmtOffset]]),Table18[[#This Row],[utcOffsetLookup]],Table18[[#This Row],[gmtOffset]])</f>
        <v>3</v>
      </c>
      <c r="J35" s="2">
        <v>3</v>
      </c>
    </row>
    <row r="36" spans="1:10" x14ac:dyDescent="0.3">
      <c r="A36" t="s">
        <v>150</v>
      </c>
      <c r="B36" s="34" t="str">
        <f>IF(Table18[[#This Row],[gmtOffset]]&gt;0,"+",IF(Table18[[#This Row],[gmtOffset]]=0,"","-"))</f>
        <v/>
      </c>
      <c r="C36">
        <v>0</v>
      </c>
      <c r="D36" s="35">
        <f>Table18[[#This Row],[gmtOffset]]/24</f>
        <v>0</v>
      </c>
      <c r="E36">
        <f>COUNTIFS(Table18[iataAirportCode],"="&amp;Table18[[#This Row],[iataAirportCode]])</f>
        <v>1</v>
      </c>
      <c r="F36" t="b">
        <f>ISBLANK(Table18[[#This Row],[gmtOffset]])</f>
        <v>0</v>
      </c>
      <c r="G36" t="str">
        <f>IF(AND(Table18[[#This Row],[isblank]]=TRUE,Table18[[#This Row],[count]]&gt;1),"delete","")</f>
        <v/>
      </c>
      <c r="H36" s="2"/>
      <c r="I36" s="2">
        <f>IF(ISBLANK(Table18[[#This Row],[gmtOffset]]),Table18[[#This Row],[utcOffsetLookup]],Table18[[#This Row],[gmtOffset]])</f>
        <v>0</v>
      </c>
      <c r="J36" s="2">
        <v>0</v>
      </c>
    </row>
    <row r="37" spans="1:10" x14ac:dyDescent="0.3">
      <c r="A37" t="s">
        <v>153</v>
      </c>
      <c r="B37" s="34" t="str">
        <f>IF(Table18[[#This Row],[gmtOffset]]&gt;0,"+",IF(Table18[[#This Row],[gmtOffset]]=0,"","-"))</f>
        <v>+</v>
      </c>
      <c r="C37">
        <v>1</v>
      </c>
      <c r="D37" s="35">
        <f>Table18[[#This Row],[gmtOffset]]/24</f>
        <v>4.1666666666666664E-2</v>
      </c>
      <c r="E37">
        <f>COUNTIFS(Table18[iataAirportCode],"="&amp;Table18[[#This Row],[iataAirportCode]])</f>
        <v>1</v>
      </c>
      <c r="F37" t="b">
        <f>ISBLANK(Table18[[#This Row],[gmtOffset]])</f>
        <v>0</v>
      </c>
      <c r="G37" t="str">
        <f>IF(AND(Table18[[#This Row],[isblank]]=TRUE,Table18[[#This Row],[count]]&gt;1),"delete","")</f>
        <v/>
      </c>
      <c r="H37" s="2"/>
      <c r="I37" s="2">
        <f>IF(ISBLANK(Table18[[#This Row],[gmtOffset]]),Table18[[#This Row],[utcOffsetLookup]],Table18[[#This Row],[gmtOffset]])</f>
        <v>1</v>
      </c>
      <c r="J37" s="2">
        <v>1</v>
      </c>
    </row>
    <row r="38" spans="1:10" x14ac:dyDescent="0.3">
      <c r="A38" t="s">
        <v>154</v>
      </c>
      <c r="B38" s="34" t="str">
        <f>IF(Table18[[#This Row],[gmtOffset]]&gt;0,"+",IF(Table18[[#This Row],[gmtOffset]]=0,"","-"))</f>
        <v>+</v>
      </c>
      <c r="C38">
        <v>3</v>
      </c>
      <c r="D38" s="35">
        <f>Table18[[#This Row],[gmtOffset]]/24</f>
        <v>0.125</v>
      </c>
      <c r="E38">
        <f>COUNTIFS(Table18[iataAirportCode],"="&amp;Table18[[#This Row],[iataAirportCode]])</f>
        <v>1</v>
      </c>
      <c r="F38" t="b">
        <f>ISBLANK(Table18[[#This Row],[gmtOffset]])</f>
        <v>0</v>
      </c>
      <c r="G38" t="str">
        <f>IF(AND(Table18[[#This Row],[isblank]]=TRUE,Table18[[#This Row],[count]]&gt;1),"delete","")</f>
        <v/>
      </c>
      <c r="H38" s="2"/>
      <c r="I38" s="2">
        <f>IF(ISBLANK(Table18[[#This Row],[gmtOffset]]),Table18[[#This Row],[utcOffsetLookup]],Table18[[#This Row],[gmtOffset]])</f>
        <v>3</v>
      </c>
      <c r="J38" s="2">
        <v>3</v>
      </c>
    </row>
    <row r="39" spans="1:10" x14ac:dyDescent="0.3">
      <c r="A39" t="s">
        <v>155</v>
      </c>
      <c r="B39" s="34" t="str">
        <f>IF(Table18[[#This Row],[gmtOffset]]&gt;0,"+",IF(Table18[[#This Row],[gmtOffset]]=0,"","-"))</f>
        <v>+</v>
      </c>
      <c r="C39">
        <v>1</v>
      </c>
      <c r="D39" s="35">
        <f>Table18[[#This Row],[gmtOffset]]/24</f>
        <v>4.1666666666666664E-2</v>
      </c>
      <c r="E39">
        <f>COUNTIFS(Table18[iataAirportCode],"="&amp;Table18[[#This Row],[iataAirportCode]])</f>
        <v>1</v>
      </c>
      <c r="F39" t="b">
        <f>ISBLANK(Table18[[#This Row],[gmtOffset]])</f>
        <v>0</v>
      </c>
      <c r="G39" t="str">
        <f>IF(AND(Table18[[#This Row],[isblank]]=TRUE,Table18[[#This Row],[count]]&gt;1),"delete","")</f>
        <v/>
      </c>
      <c r="H39" s="2"/>
      <c r="I39" s="2">
        <f>IF(ISBLANK(Table18[[#This Row],[gmtOffset]]),Table18[[#This Row],[utcOffsetLookup]],Table18[[#This Row],[gmtOffset]])</f>
        <v>1</v>
      </c>
      <c r="J39" s="2">
        <v>1</v>
      </c>
    </row>
    <row r="40" spans="1:10" x14ac:dyDescent="0.3">
      <c r="A40" t="s">
        <v>207</v>
      </c>
      <c r="B40" s="34" t="str">
        <f>IF(Table18[[#This Row],[gmtOffset]]&gt;0,"+",IF(Table18[[#This Row],[gmtOffset]]=0,"","-"))</f>
        <v>+</v>
      </c>
      <c r="C40">
        <v>3</v>
      </c>
      <c r="D40" s="35">
        <f>Table18[[#This Row],[gmtOffset]]/24</f>
        <v>0.125</v>
      </c>
      <c r="E40">
        <f>COUNTIFS(Table18[iataAirportCode],"="&amp;Table18[[#This Row],[iataAirportCode]])</f>
        <v>1</v>
      </c>
      <c r="F40" t="b">
        <f>ISBLANK(Table18[[#This Row],[gmtOffset]])</f>
        <v>0</v>
      </c>
      <c r="G40" t="str">
        <f>IF(AND(Table18[[#This Row],[isblank]]=TRUE,Table18[[#This Row],[count]]&gt;1),"delete","")</f>
        <v/>
      </c>
      <c r="H40" s="2"/>
      <c r="I40" s="2">
        <f>IF(ISBLANK(Table18[[#This Row],[gmtOffset]]),Table18[[#This Row],[utcOffsetLookup]],Table18[[#This Row],[gmtOffset]])</f>
        <v>3</v>
      </c>
      <c r="J40" s="2">
        <v>3</v>
      </c>
    </row>
    <row r="41" spans="1:10" x14ac:dyDescent="0.3">
      <c r="A41" t="s">
        <v>209</v>
      </c>
      <c r="B41" s="34" t="str">
        <f>IF(Table18[[#This Row],[gmtOffset]]&gt;0,"+",IF(Table18[[#This Row],[gmtOffset]]=0,"","-"))</f>
        <v>+</v>
      </c>
      <c r="C41">
        <v>1</v>
      </c>
      <c r="D41" s="35">
        <f>Table18[[#This Row],[gmtOffset]]/24</f>
        <v>4.1666666666666664E-2</v>
      </c>
      <c r="E41">
        <f>COUNTIFS(Table18[iataAirportCode],"="&amp;Table18[[#This Row],[iataAirportCode]])</f>
        <v>1</v>
      </c>
      <c r="F41" t="b">
        <f>ISBLANK(Table18[[#This Row],[gmtOffset]])</f>
        <v>0</v>
      </c>
      <c r="G41" t="str">
        <f>IF(AND(Table18[[#This Row],[isblank]]=TRUE,Table18[[#This Row],[count]]&gt;1),"delete","")</f>
        <v/>
      </c>
      <c r="H41" s="2"/>
      <c r="I41" s="2">
        <f>IF(ISBLANK(Table18[[#This Row],[gmtOffset]]),Table18[[#This Row],[utcOffsetLookup]],Table18[[#This Row],[gmtOffset]])</f>
        <v>1</v>
      </c>
      <c r="J41" s="2">
        <v>1</v>
      </c>
    </row>
    <row r="42" spans="1:10" x14ac:dyDescent="0.3">
      <c r="A42" t="s">
        <v>210</v>
      </c>
      <c r="B42" s="34" t="str">
        <f>IF(Table18[[#This Row],[gmtOffset]]&gt;0,"+",IF(Table18[[#This Row],[gmtOffset]]=0,"","-"))</f>
        <v>-</v>
      </c>
      <c r="C42">
        <v>-5</v>
      </c>
      <c r="D42" s="35">
        <f>Table18[[#This Row],[gmtOffset]]/24</f>
        <v>-0.20833333333333334</v>
      </c>
      <c r="E42">
        <f>COUNTIFS(Table18[iataAirportCode],"="&amp;Table18[[#This Row],[iataAirportCode]])</f>
        <v>1</v>
      </c>
      <c r="F42" t="b">
        <f>ISBLANK(Table18[[#This Row],[gmtOffset]])</f>
        <v>0</v>
      </c>
      <c r="G42" t="str">
        <f>IF(AND(Table18[[#This Row],[isblank]]=TRUE,Table18[[#This Row],[count]]&gt;1),"delete","")</f>
        <v/>
      </c>
      <c r="H42" s="2"/>
      <c r="I42" s="2">
        <f>IF(ISBLANK(Table18[[#This Row],[gmtOffset]]),Table18[[#This Row],[utcOffsetLookup]],Table18[[#This Row],[gmtOffset]])</f>
        <v>-5</v>
      </c>
      <c r="J42" s="2">
        <v>-5</v>
      </c>
    </row>
    <row r="43" spans="1:10" x14ac:dyDescent="0.3">
      <c r="A43" t="s">
        <v>211</v>
      </c>
      <c r="B43" s="34" t="str">
        <f>IF(Table18[[#This Row],[gmtOffset]]&gt;0,"+",IF(Table18[[#This Row],[gmtOffset]]=0,"","-"))</f>
        <v>-</v>
      </c>
      <c r="C43">
        <v>-6</v>
      </c>
      <c r="D43" s="35">
        <f>Table18[[#This Row],[gmtOffset]]/24</f>
        <v>-0.25</v>
      </c>
      <c r="E43">
        <f>COUNTIFS(Table18[iataAirportCode],"="&amp;Table18[[#This Row],[iataAirportCode]])</f>
        <v>1</v>
      </c>
      <c r="F43" t="b">
        <f>ISBLANK(Table18[[#This Row],[gmtOffset]])</f>
        <v>0</v>
      </c>
      <c r="G43" t="str">
        <f>IF(AND(Table18[[#This Row],[isblank]]=TRUE,Table18[[#This Row],[count]]&gt;1),"delete","")</f>
        <v/>
      </c>
      <c r="H43" s="2"/>
      <c r="I43" s="2">
        <f>IF(ISBLANK(Table18[[#This Row],[gmtOffset]]),Table18[[#This Row],[utcOffsetLookup]],Table18[[#This Row],[gmtOffset]])</f>
        <v>-6</v>
      </c>
      <c r="J43" s="2">
        <v>-6</v>
      </c>
    </row>
    <row r="44" spans="1:10" x14ac:dyDescent="0.3">
      <c r="A44" t="s">
        <v>70</v>
      </c>
      <c r="B44" s="34" t="str">
        <f>IF(Table18[[#This Row],[gmtOffset]]&gt;0,"+",IF(Table18[[#This Row],[gmtOffset]]=0,"","-"))</f>
        <v>-</v>
      </c>
      <c r="C44">
        <v>-5</v>
      </c>
      <c r="D44" s="35">
        <f>Table18[[#This Row],[gmtOffset]]/24</f>
        <v>-0.20833333333333334</v>
      </c>
      <c r="E44">
        <f>COUNTIFS(Table18[iataAirportCode],"="&amp;Table18[[#This Row],[iataAirportCode]])</f>
        <v>1</v>
      </c>
      <c r="F44" t="b">
        <f>ISBLANK(Table18[[#This Row],[gmtOffset]])</f>
        <v>0</v>
      </c>
      <c r="G44" t="str">
        <f>IF(AND(Table18[[#This Row],[isblank]]=TRUE,Table18[[#This Row],[count]]&gt;1),"delete","")</f>
        <v/>
      </c>
      <c r="H44" s="2"/>
      <c r="I44" s="2">
        <f>IF(ISBLANK(Table18[[#This Row],[gmtOffset]]),Table18[[#This Row],[utcOffsetLookup]],Table18[[#This Row],[gmtOffset]])</f>
        <v>-5</v>
      </c>
      <c r="J44" s="2">
        <v>-5</v>
      </c>
    </row>
    <row r="45" spans="1:10" x14ac:dyDescent="0.3">
      <c r="A45" t="s">
        <v>279</v>
      </c>
      <c r="B45" s="34" t="str">
        <f>IF(Table18[[#This Row],[gmtOffset]]&gt;0,"+",IF(Table18[[#This Row],[gmtOffset]]=0,"","-"))</f>
        <v/>
      </c>
      <c r="C45">
        <v>0</v>
      </c>
      <c r="D45" s="35">
        <f>Table18[[#This Row],[gmtOffset]]/24</f>
        <v>0</v>
      </c>
      <c r="E45">
        <f>COUNTIFS(Table18[iataAirportCode],"="&amp;Table18[[#This Row],[iataAirportCode]])</f>
        <v>1</v>
      </c>
      <c r="F45" t="b">
        <f>ISBLANK(Table18[[#This Row],[gmtOffset]])</f>
        <v>0</v>
      </c>
      <c r="G45" t="str">
        <f>IF(AND(Table18[[#This Row],[isblank]]=TRUE,Table18[[#This Row],[count]]&gt;1),"delete","")</f>
        <v/>
      </c>
      <c r="H45" s="2"/>
      <c r="I45" s="2">
        <f>IF(ISBLANK(Table18[[#This Row],[gmtOffset]]),Table18[[#This Row],[utcOffsetLookup]],Table18[[#This Row],[gmtOffset]])</f>
        <v>0</v>
      </c>
      <c r="J45" s="2">
        <v>0</v>
      </c>
    </row>
    <row r="46" spans="1:10" x14ac:dyDescent="0.3">
      <c r="A46" t="s">
        <v>281</v>
      </c>
      <c r="B46" s="34" t="str">
        <f>IF(Table18[[#This Row],[gmtOffset]]&gt;0,"+",IF(Table18[[#This Row],[gmtOffset]]=0,"","-"))</f>
        <v/>
      </c>
      <c r="C46">
        <v>0</v>
      </c>
      <c r="D46" s="35">
        <f>Table18[[#This Row],[gmtOffset]]/24</f>
        <v>0</v>
      </c>
      <c r="E46">
        <f>COUNTIFS(Table18[iataAirportCode],"="&amp;Table18[[#This Row],[iataAirportCode]])</f>
        <v>1</v>
      </c>
      <c r="F46" t="b">
        <f>ISBLANK(Table18[[#This Row],[gmtOffset]])</f>
        <v>0</v>
      </c>
      <c r="G46" t="str">
        <f>IF(AND(Table18[[#This Row],[isblank]]=TRUE,Table18[[#This Row],[count]]&gt;1),"delete","")</f>
        <v/>
      </c>
      <c r="H46" s="2"/>
      <c r="I46" s="2">
        <f>IF(ISBLANK(Table18[[#This Row],[gmtOffset]]),Table18[[#This Row],[utcOffsetLookup]],Table18[[#This Row],[gmtOffset]])</f>
        <v>0</v>
      </c>
      <c r="J46" s="2">
        <v>0</v>
      </c>
    </row>
    <row r="47" spans="1:10" x14ac:dyDescent="0.3">
      <c r="A47" t="s">
        <v>280</v>
      </c>
      <c r="B47" s="34" t="str">
        <f>IF(Table18[[#This Row],[gmtOffset]]&gt;0,"+",IF(Table18[[#This Row],[gmtOffset]]=0,"","-"))</f>
        <v/>
      </c>
      <c r="C47">
        <v>0</v>
      </c>
      <c r="D47" s="35">
        <f>Table18[[#This Row],[gmtOffset]]/24</f>
        <v>0</v>
      </c>
      <c r="E47">
        <f>COUNTIFS(Table18[iataAirportCode],"="&amp;Table18[[#This Row],[iataAirportCode]])</f>
        <v>1</v>
      </c>
      <c r="F47" t="b">
        <f>ISBLANK(Table18[[#This Row],[gmtOffset]])</f>
        <v>0</v>
      </c>
      <c r="G47" t="str">
        <f>IF(AND(Table18[[#This Row],[isblank]]=TRUE,Table18[[#This Row],[count]]&gt;1),"delete","")</f>
        <v/>
      </c>
      <c r="H47" s="2"/>
      <c r="I47" s="2">
        <f>IF(ISBLANK(Table18[[#This Row],[gmtOffset]]),Table18[[#This Row],[utcOffsetLookup]],Table18[[#This Row],[gmtOffset]])</f>
        <v>0</v>
      </c>
      <c r="J47" s="2">
        <v>0</v>
      </c>
    </row>
    <row r="48" spans="1:10" x14ac:dyDescent="0.3">
      <c r="A48" t="s">
        <v>113</v>
      </c>
      <c r="B48" s="34" t="str">
        <f>IF(Table18[[#This Row],[gmtOffset]]&gt;0,"+",IF(Table18[[#This Row],[gmtOffset]]=0,"","-"))</f>
        <v>+</v>
      </c>
      <c r="C48">
        <v>2</v>
      </c>
      <c r="D48" s="35">
        <f>Table18[[#This Row],[gmtOffset]]/24</f>
        <v>8.3333333333333329E-2</v>
      </c>
      <c r="E48">
        <f>COUNTIFS(Table18[iataAirportCode],"="&amp;Table18[[#This Row],[iataAirportCode]])</f>
        <v>1</v>
      </c>
      <c r="F48" t="b">
        <f>ISBLANK(Table18[[#This Row],[gmtOffset]])</f>
        <v>0</v>
      </c>
      <c r="G48" t="str">
        <f>IF(AND(Table18[[#This Row],[isblank]]=TRUE,Table18[[#This Row],[count]]&gt;1),"delete","")</f>
        <v/>
      </c>
      <c r="H48" s="2"/>
      <c r="I48" s="2">
        <f>IF(ISBLANK(Table18[[#This Row],[gmtOffset]]),Table18[[#This Row],[utcOffsetLookup]],Table18[[#This Row],[gmtOffset]])</f>
        <v>2</v>
      </c>
      <c r="J48" s="2">
        <v>2</v>
      </c>
    </row>
    <row r="49" spans="1:10" x14ac:dyDescent="0.3">
      <c r="A49" t="s">
        <v>112</v>
      </c>
      <c r="B49" s="34" t="str">
        <f>IF(Table18[[#This Row],[gmtOffset]]&gt;0,"+",IF(Table18[[#This Row],[gmtOffset]]=0,"","-"))</f>
        <v>+</v>
      </c>
      <c r="C49">
        <v>2</v>
      </c>
      <c r="D49" s="35">
        <f>Table18[[#This Row],[gmtOffset]]/24</f>
        <v>8.3333333333333329E-2</v>
      </c>
      <c r="E49">
        <f>COUNTIFS(Table18[iataAirportCode],"="&amp;Table18[[#This Row],[iataAirportCode]])</f>
        <v>1</v>
      </c>
      <c r="F49" t="b">
        <f>ISBLANK(Table18[[#This Row],[gmtOffset]])</f>
        <v>0</v>
      </c>
      <c r="G49" t="str">
        <f>IF(AND(Table18[[#This Row],[isblank]]=TRUE,Table18[[#This Row],[count]]&gt;1),"delete","")</f>
        <v/>
      </c>
      <c r="H49" s="2"/>
      <c r="I49" s="2">
        <f>IF(ISBLANK(Table18[[#This Row],[gmtOffset]]),Table18[[#This Row],[utcOffsetLookup]],Table18[[#This Row],[gmtOffset]])</f>
        <v>2</v>
      </c>
      <c r="J49" s="2">
        <v>2</v>
      </c>
    </row>
    <row r="50" spans="1:10" x14ac:dyDescent="0.3">
      <c r="A50" t="s">
        <v>109</v>
      </c>
      <c r="B50" s="34" t="str">
        <f>IF(Table18[[#This Row],[gmtOffset]]&gt;0,"+",IF(Table18[[#This Row],[gmtOffset]]=0,"","-"))</f>
        <v>-</v>
      </c>
      <c r="C50">
        <v>-5</v>
      </c>
      <c r="D50" s="35">
        <f>Table18[[#This Row],[gmtOffset]]/24</f>
        <v>-0.20833333333333334</v>
      </c>
      <c r="E50">
        <f>COUNTIFS(Table18[iataAirportCode],"="&amp;Table18[[#This Row],[iataAirportCode]])</f>
        <v>1</v>
      </c>
      <c r="F50" t="b">
        <f>ISBLANK(Table18[[#This Row],[gmtOffset]])</f>
        <v>0</v>
      </c>
      <c r="G50" t="str">
        <f>IF(AND(Table18[[#This Row],[isblank]]=TRUE,Table18[[#This Row],[count]]&gt;1),"delete","")</f>
        <v/>
      </c>
      <c r="H50" s="2"/>
      <c r="I50" s="2">
        <f>IF(ISBLANK(Table18[[#This Row],[gmtOffset]]),Table18[[#This Row],[utcOffsetLookup]],Table18[[#This Row],[gmtOffset]])</f>
        <v>-5</v>
      </c>
      <c r="J50" s="2">
        <v>-5</v>
      </c>
    </row>
    <row r="51" spans="1:10" x14ac:dyDescent="0.3">
      <c r="A51" t="s">
        <v>108</v>
      </c>
      <c r="B51" s="34" t="str">
        <f>IF(Table18[[#This Row],[gmtOffset]]&gt;0,"+",IF(Table18[[#This Row],[gmtOffset]]=0,"","-"))</f>
        <v>-</v>
      </c>
      <c r="C51">
        <v>-5</v>
      </c>
      <c r="D51" s="35">
        <f>Table18[[#This Row],[gmtOffset]]/24</f>
        <v>-0.20833333333333334</v>
      </c>
      <c r="E51">
        <f>COUNTIFS(Table18[iataAirportCode],"="&amp;Table18[[#This Row],[iataAirportCode]])</f>
        <v>1</v>
      </c>
      <c r="F51" t="b">
        <f>ISBLANK(Table18[[#This Row],[gmtOffset]])</f>
        <v>0</v>
      </c>
      <c r="G51" t="str">
        <f>IF(AND(Table18[[#This Row],[isblank]]=TRUE,Table18[[#This Row],[count]]&gt;1),"delete","")</f>
        <v/>
      </c>
      <c r="H51" s="2"/>
      <c r="I51" s="2">
        <f>IF(ISBLANK(Table18[[#This Row],[gmtOffset]]),Table18[[#This Row],[utcOffsetLookup]],Table18[[#This Row],[gmtOffset]])</f>
        <v>-5</v>
      </c>
      <c r="J51" s="2">
        <v>-5</v>
      </c>
    </row>
    <row r="52" spans="1:10" x14ac:dyDescent="0.3">
      <c r="A52" t="s">
        <v>3337</v>
      </c>
      <c r="B52" s="34" t="str">
        <f>IF(Table18[[#This Row],[gmtOffset]]&gt;0,"+",IF(Table18[[#This Row],[gmtOffset]]=0,"","-"))</f>
        <v>+</v>
      </c>
      <c r="C52">
        <v>2</v>
      </c>
      <c r="D52" s="35">
        <f>Table18[[#This Row],[gmtOffset]]/24</f>
        <v>8.3333333333333329E-2</v>
      </c>
      <c r="E52">
        <f>COUNTIFS(Table18[iataAirportCode],"="&amp;Table18[[#This Row],[iataAirportCode]])</f>
        <v>1</v>
      </c>
      <c r="F52" t="b">
        <f>ISBLANK(Table18[[#This Row],[gmtOffset]])</f>
        <v>0</v>
      </c>
      <c r="G52" t="str">
        <f>IF(AND(Table18[[#This Row],[isblank]]=TRUE,Table18[[#This Row],[count]]&gt;1),"delete","")</f>
        <v/>
      </c>
      <c r="H52" s="2"/>
      <c r="I52" s="2">
        <f>IF(ISBLANK(Table18[[#This Row],[gmtOffset]]),Table18[[#This Row],[utcOffsetLookup]],Table18[[#This Row],[gmtOffset]])</f>
        <v>2</v>
      </c>
      <c r="J52" s="2">
        <v>2</v>
      </c>
    </row>
    <row r="53" spans="1:10" x14ac:dyDescent="0.3">
      <c r="A53" t="s">
        <v>770</v>
      </c>
      <c r="B53" s="34" t="str">
        <f>IF(Table18[[#This Row],[gmtOffset]]&gt;0,"+",IF(Table18[[#This Row],[gmtOffset]]=0,"","-"))</f>
        <v>+</v>
      </c>
      <c r="C53">
        <v>2</v>
      </c>
      <c r="D53" s="35">
        <f>Table18[[#This Row],[gmtOffset]]/24</f>
        <v>8.3333333333333329E-2</v>
      </c>
      <c r="E53">
        <f>COUNTIFS(Table18[iataAirportCode],"="&amp;Table18[[#This Row],[iataAirportCode]])</f>
        <v>1</v>
      </c>
      <c r="F53" t="b">
        <f>ISBLANK(Table18[[#This Row],[gmtOffset]])</f>
        <v>0</v>
      </c>
      <c r="G53" t="str">
        <f>IF(AND(Table18[[#This Row],[isblank]]=TRUE,Table18[[#This Row],[count]]&gt;1),"delete","")</f>
        <v/>
      </c>
      <c r="H53" s="2"/>
      <c r="I53" s="2">
        <f>IF(ISBLANK(Table18[[#This Row],[gmtOffset]]),Table18[[#This Row],[utcOffsetLookup]],Table18[[#This Row],[gmtOffset]])</f>
        <v>2</v>
      </c>
      <c r="J53" s="2">
        <v>2</v>
      </c>
    </row>
    <row r="54" spans="1:10" x14ac:dyDescent="0.3">
      <c r="A54" t="s">
        <v>222</v>
      </c>
      <c r="B54" s="34" t="str">
        <f>IF(Table18[[#This Row],[gmtOffset]]&gt;0,"+",IF(Table18[[#This Row],[gmtOffset]]=0,"","-"))</f>
        <v>+</v>
      </c>
      <c r="C54">
        <v>3</v>
      </c>
      <c r="D54" s="35">
        <f>Table18[[#This Row],[gmtOffset]]/24</f>
        <v>0.125</v>
      </c>
      <c r="E54">
        <f>COUNTIFS(Table18[iataAirportCode],"="&amp;Table18[[#This Row],[iataAirportCode]])</f>
        <v>1</v>
      </c>
      <c r="F54" t="b">
        <f>ISBLANK(Table18[[#This Row],[gmtOffset]])</f>
        <v>0</v>
      </c>
      <c r="G54" t="str">
        <f>IF(AND(Table18[[#This Row],[isblank]]=TRUE,Table18[[#This Row],[count]]&gt;1),"delete","")</f>
        <v/>
      </c>
      <c r="H54" s="2"/>
      <c r="I54" s="2">
        <f>IF(ISBLANK(Table18[[#This Row],[gmtOffset]]),Table18[[#This Row],[utcOffsetLookup]],Table18[[#This Row],[gmtOffset]])</f>
        <v>3</v>
      </c>
      <c r="J54" s="2">
        <v>3</v>
      </c>
    </row>
    <row r="55" spans="1:10" x14ac:dyDescent="0.3">
      <c r="A55" t="s">
        <v>2614</v>
      </c>
      <c r="B55" s="34" t="str">
        <f>IF(Table18[[#This Row],[gmtOffset]]&gt;0,"+",IF(Table18[[#This Row],[gmtOffset]]=0,"","-"))</f>
        <v>+</v>
      </c>
      <c r="C55">
        <v>8</v>
      </c>
      <c r="D55" s="35">
        <f>Table18[[#This Row],[gmtOffset]]/24</f>
        <v>0.33333333333333331</v>
      </c>
      <c r="E55">
        <f>COUNTIFS(Table18[iataAirportCode],"="&amp;Table18[[#This Row],[iataAirportCode]])</f>
        <v>1</v>
      </c>
      <c r="F55" t="b">
        <f>ISBLANK(Table18[[#This Row],[gmtOffset]])</f>
        <v>0</v>
      </c>
      <c r="G55" t="str">
        <f>IF(AND(Table18[[#This Row],[isblank]]=TRUE,Table18[[#This Row],[count]]&gt;1),"delete","")</f>
        <v/>
      </c>
      <c r="H55" s="2"/>
      <c r="I55" s="2">
        <f>IF(ISBLANK(Table18[[#This Row],[gmtOffset]]),Table18[[#This Row],[utcOffsetLookup]],Table18[[#This Row],[gmtOffset]])</f>
        <v>8</v>
      </c>
      <c r="J55" s="2">
        <v>8</v>
      </c>
    </row>
    <row r="56" spans="1:10" x14ac:dyDescent="0.3">
      <c r="A56" t="s">
        <v>1401</v>
      </c>
      <c r="B56" s="34" t="str">
        <f>IF(Table18[[#This Row],[gmtOffset]]&gt;0,"+",IF(Table18[[#This Row],[gmtOffset]]=0,"","-"))</f>
        <v>+</v>
      </c>
      <c r="C56">
        <v>1</v>
      </c>
      <c r="D56" s="35">
        <f>Table18[[#This Row],[gmtOffset]]/24</f>
        <v>4.1666666666666664E-2</v>
      </c>
      <c r="E56">
        <f>COUNTIFS(Table18[iataAirportCode],"="&amp;Table18[[#This Row],[iataAirportCode]])</f>
        <v>1</v>
      </c>
      <c r="F56" t="b">
        <f>ISBLANK(Table18[[#This Row],[gmtOffset]])</f>
        <v>0</v>
      </c>
      <c r="G56" t="str">
        <f>IF(AND(Table18[[#This Row],[isblank]]=TRUE,Table18[[#This Row],[count]]&gt;1),"delete","")</f>
        <v/>
      </c>
      <c r="H56" s="2"/>
      <c r="I56" s="2">
        <f>IF(ISBLANK(Table18[[#This Row],[gmtOffset]]),Table18[[#This Row],[utcOffsetLookup]],Table18[[#This Row],[gmtOffset]])</f>
        <v>1</v>
      </c>
      <c r="J56" s="2">
        <v>1</v>
      </c>
    </row>
    <row r="57" spans="1:10" x14ac:dyDescent="0.3">
      <c r="A57" t="s">
        <v>2987</v>
      </c>
      <c r="B57" s="34" t="str">
        <f>IF(Table18[[#This Row],[gmtOffset]]&gt;0,"+",IF(Table18[[#This Row],[gmtOffset]]=0,"","-"))</f>
        <v>-</v>
      </c>
      <c r="C57">
        <v>-8</v>
      </c>
      <c r="D57" s="35">
        <f>Table18[[#This Row],[gmtOffset]]/24</f>
        <v>-0.33333333333333331</v>
      </c>
      <c r="E57">
        <f>COUNTIFS(Table18[iataAirportCode],"="&amp;Table18[[#This Row],[iataAirportCode]])</f>
        <v>1</v>
      </c>
      <c r="F57" t="b">
        <f>ISBLANK(Table18[[#This Row],[gmtOffset]])</f>
        <v>0</v>
      </c>
      <c r="G57" t="str">
        <f>IF(AND(Table18[[#This Row],[isblank]]=TRUE,Table18[[#This Row],[count]]&gt;1),"delete","")</f>
        <v/>
      </c>
      <c r="H57" s="2"/>
      <c r="I57" s="2">
        <f>IF(ISBLANK(Table18[[#This Row],[gmtOffset]]),Table18[[#This Row],[utcOffsetLookup]],Table18[[#This Row],[gmtOffset]])</f>
        <v>-8</v>
      </c>
      <c r="J57" s="2">
        <v>-8</v>
      </c>
    </row>
    <row r="58" spans="1:10" x14ac:dyDescent="0.3">
      <c r="A58" t="s">
        <v>1692</v>
      </c>
      <c r="B58" s="34" t="str">
        <f>IF(Table18[[#This Row],[gmtOffset]]&gt;0,"+",IF(Table18[[#This Row],[gmtOffset]]=0,"","-"))</f>
        <v>-</v>
      </c>
      <c r="C58">
        <v>-11</v>
      </c>
      <c r="D58" s="35">
        <f>Table18[[#This Row],[gmtOffset]]/24</f>
        <v>-0.45833333333333331</v>
      </c>
      <c r="E58">
        <f>COUNTIFS(Table18[iataAirportCode],"="&amp;Table18[[#This Row],[iataAirportCode]])</f>
        <v>1</v>
      </c>
      <c r="F58" t="b">
        <f>ISBLANK(Table18[[#This Row],[gmtOffset]])</f>
        <v>0</v>
      </c>
      <c r="G58" t="str">
        <f>IF(AND(Table18[[#This Row],[isblank]]=TRUE,Table18[[#This Row],[count]]&gt;1),"delete","")</f>
        <v/>
      </c>
      <c r="H58" s="2"/>
      <c r="I58" s="2">
        <f>IF(ISBLANK(Table18[[#This Row],[gmtOffset]]),Table18[[#This Row],[utcOffsetLookup]],Table18[[#This Row],[gmtOffset]])</f>
        <v>-11</v>
      </c>
      <c r="J58" s="2"/>
    </row>
    <row r="59" spans="1:10" x14ac:dyDescent="0.3">
      <c r="A59" t="s">
        <v>2280</v>
      </c>
      <c r="B59" s="34" t="str">
        <f>IF(Table18[[#This Row],[gmtOffset]]&gt;0,"+",IF(Table18[[#This Row],[gmtOffset]]=0,"","-"))</f>
        <v>-</v>
      </c>
      <c r="C59">
        <v>-4</v>
      </c>
      <c r="D59" s="35">
        <f>Table18[[#This Row],[gmtOffset]]/24</f>
        <v>-0.16666666666666666</v>
      </c>
      <c r="E59">
        <f>COUNTIFS(Table18[iataAirportCode],"="&amp;Table18[[#This Row],[iataAirportCode]])</f>
        <v>1</v>
      </c>
      <c r="F59" t="b">
        <f>ISBLANK(Table18[[#This Row],[gmtOffset]])</f>
        <v>0</v>
      </c>
      <c r="G59" t="str">
        <f>IF(AND(Table18[[#This Row],[isblank]]=TRUE,Table18[[#This Row],[count]]&gt;1),"delete","")</f>
        <v/>
      </c>
      <c r="H59" s="2"/>
      <c r="I59" s="2">
        <f>IF(ISBLANK(Table18[[#This Row],[gmtOffset]]),Table18[[#This Row],[utcOffsetLookup]],Table18[[#This Row],[gmtOffset]])</f>
        <v>-4</v>
      </c>
      <c r="J59" s="2"/>
    </row>
    <row r="60" spans="1:10" x14ac:dyDescent="0.3">
      <c r="A60" t="s">
        <v>3224</v>
      </c>
      <c r="B60" s="34" t="str">
        <f>IF(Table18[[#This Row],[gmtOffset]]&gt;0,"+",IF(Table18[[#This Row],[gmtOffset]]=0,"","-"))</f>
        <v>-</v>
      </c>
      <c r="C60">
        <v>-3</v>
      </c>
      <c r="D60" s="35">
        <f>Table18[[#This Row],[gmtOffset]]/24</f>
        <v>-0.125</v>
      </c>
      <c r="E60">
        <f>COUNTIFS(Table18[iataAirportCode],"="&amp;Table18[[#This Row],[iataAirportCode]])</f>
        <v>1</v>
      </c>
      <c r="F60" t="b">
        <f>ISBLANK(Table18[[#This Row],[gmtOffset]])</f>
        <v>0</v>
      </c>
      <c r="G60" t="str">
        <f>IF(AND(Table18[[#This Row],[isblank]]=TRUE,Table18[[#This Row],[count]]&gt;1),"delete","")</f>
        <v/>
      </c>
      <c r="H60" s="2"/>
      <c r="I60" s="2">
        <f>IF(ISBLANK(Table18[[#This Row],[gmtOffset]]),Table18[[#This Row],[utcOffsetLookup]],Table18[[#This Row],[gmtOffset]])</f>
        <v>-3</v>
      </c>
      <c r="J60" s="2"/>
    </row>
    <row r="61" spans="1:10" x14ac:dyDescent="0.3">
      <c r="A61" t="s">
        <v>2306</v>
      </c>
      <c r="B61" s="34" t="str">
        <f>IF(Table18[[#This Row],[gmtOffset]]&gt;0,"+",IF(Table18[[#This Row],[gmtOffset]]=0,"","-"))</f>
        <v>-</v>
      </c>
      <c r="C61">
        <v>-4</v>
      </c>
      <c r="D61" s="35">
        <f>Table18[[#This Row],[gmtOffset]]/24</f>
        <v>-0.16666666666666666</v>
      </c>
      <c r="E61">
        <f>COUNTIFS(Table18[iataAirportCode],"="&amp;Table18[[#This Row],[iataAirportCode]])</f>
        <v>1</v>
      </c>
      <c r="F61" t="b">
        <f>ISBLANK(Table18[[#This Row],[gmtOffset]])</f>
        <v>0</v>
      </c>
      <c r="G61" t="str">
        <f>IF(AND(Table18[[#This Row],[isblank]]=TRUE,Table18[[#This Row],[count]]&gt;1),"delete","")</f>
        <v/>
      </c>
      <c r="H61" s="2"/>
      <c r="I61" s="2">
        <f>IF(ISBLANK(Table18[[#This Row],[gmtOffset]]),Table18[[#This Row],[utcOffsetLookup]],Table18[[#This Row],[gmtOffset]])</f>
        <v>-4</v>
      </c>
      <c r="J61" s="2"/>
    </row>
    <row r="62" spans="1:10" x14ac:dyDescent="0.3">
      <c r="A62" t="s">
        <v>2617</v>
      </c>
      <c r="B62" s="34" t="str">
        <f>IF(Table18[[#This Row],[gmtOffset]]&gt;0,"+",IF(Table18[[#This Row],[gmtOffset]]=0,"","-"))</f>
        <v>+</v>
      </c>
      <c r="C62">
        <v>10</v>
      </c>
      <c r="D62" s="35">
        <f>Table18[[#This Row],[gmtOffset]]/24</f>
        <v>0.41666666666666669</v>
      </c>
      <c r="E62">
        <f>COUNTIFS(Table18[iataAirportCode],"="&amp;Table18[[#This Row],[iataAirportCode]])</f>
        <v>1</v>
      </c>
      <c r="F62" t="b">
        <f>ISBLANK(Table18[[#This Row],[gmtOffset]])</f>
        <v>0</v>
      </c>
      <c r="G62" t="str">
        <f>IF(AND(Table18[[#This Row],[isblank]]=TRUE,Table18[[#This Row],[count]]&gt;1),"delete","")</f>
        <v/>
      </c>
      <c r="H62" s="2"/>
      <c r="I62" s="2">
        <f>IF(ISBLANK(Table18[[#This Row],[gmtOffset]]),Table18[[#This Row],[utcOffsetLookup]],Table18[[#This Row],[gmtOffset]])</f>
        <v>10</v>
      </c>
      <c r="J62" s="2"/>
    </row>
    <row r="63" spans="1:10" x14ac:dyDescent="0.3">
      <c r="A63" t="s">
        <v>2634</v>
      </c>
      <c r="B63" s="34" t="str">
        <f>IF(Table18[[#This Row],[gmtOffset]]&gt;0,"+",IF(Table18[[#This Row],[gmtOffset]]=0,"","-"))</f>
        <v>+</v>
      </c>
      <c r="C63">
        <v>10</v>
      </c>
      <c r="D63" s="35">
        <f>Table18[[#This Row],[gmtOffset]]/24</f>
        <v>0.41666666666666669</v>
      </c>
      <c r="E63">
        <f>COUNTIFS(Table18[iataAirportCode],"="&amp;Table18[[#This Row],[iataAirportCode]])</f>
        <v>1</v>
      </c>
      <c r="F63" t="b">
        <f>ISBLANK(Table18[[#This Row],[gmtOffset]])</f>
        <v>0</v>
      </c>
      <c r="G63" t="str">
        <f>IF(AND(Table18[[#This Row],[isblank]]=TRUE,Table18[[#This Row],[count]]&gt;1),"delete","")</f>
        <v/>
      </c>
      <c r="H63" s="2"/>
      <c r="I63" s="2">
        <f>IF(ISBLANK(Table18[[#This Row],[gmtOffset]]),Table18[[#This Row],[utcOffsetLookup]],Table18[[#This Row],[gmtOffset]])</f>
        <v>10</v>
      </c>
      <c r="J63" s="2"/>
    </row>
    <row r="64" spans="1:10" x14ac:dyDescent="0.3">
      <c r="A64" t="s">
        <v>199</v>
      </c>
      <c r="B64" s="34" t="str">
        <f>IF(Table18[[#This Row],[gmtOffset]]&gt;0,"+",IF(Table18[[#This Row],[gmtOffset]]=0,"","-"))</f>
        <v>+</v>
      </c>
      <c r="C64">
        <v>8</v>
      </c>
      <c r="D64" s="35">
        <f>Table18[[#This Row],[gmtOffset]]/24</f>
        <v>0.33333333333333331</v>
      </c>
      <c r="E64">
        <f>COUNTIFS(Table18[iataAirportCode],"="&amp;Table18[[#This Row],[iataAirportCode]])</f>
        <v>1</v>
      </c>
      <c r="F64" t="b">
        <f>ISBLANK(Table18[[#This Row],[gmtOffset]])</f>
        <v>0</v>
      </c>
      <c r="G64" t="str">
        <f>IF(AND(Table18[[#This Row],[isblank]]=TRUE,Table18[[#This Row],[count]]&gt;1),"delete","")</f>
        <v/>
      </c>
      <c r="H64" s="2"/>
      <c r="I64" s="2">
        <f>IF(ISBLANK(Table18[[#This Row],[gmtOffset]]),Table18[[#This Row],[utcOffsetLookup]],Table18[[#This Row],[gmtOffset]])</f>
        <v>8</v>
      </c>
      <c r="J64" s="2"/>
    </row>
    <row r="65" spans="1:10" x14ac:dyDescent="0.3">
      <c r="A65" t="s">
        <v>2653</v>
      </c>
      <c r="B65" s="34" t="str">
        <f>IF(Table18[[#This Row],[gmtOffset]]&gt;0,"+",IF(Table18[[#This Row],[gmtOffset]]=0,"","-"))</f>
        <v>+</v>
      </c>
      <c r="C65">
        <v>10</v>
      </c>
      <c r="D65" s="35">
        <f>Table18[[#This Row],[gmtOffset]]/24</f>
        <v>0.41666666666666669</v>
      </c>
      <c r="E65">
        <f>COUNTIFS(Table18[iataAirportCode],"="&amp;Table18[[#This Row],[iataAirportCode]])</f>
        <v>1</v>
      </c>
      <c r="F65" t="b">
        <f>ISBLANK(Table18[[#This Row],[gmtOffset]])</f>
        <v>0</v>
      </c>
      <c r="G65" t="str">
        <f>IF(AND(Table18[[#This Row],[isblank]]=TRUE,Table18[[#This Row],[count]]&gt;1),"delete","")</f>
        <v/>
      </c>
      <c r="H65" s="2"/>
      <c r="I65" s="2">
        <f>IF(ISBLANK(Table18[[#This Row],[gmtOffset]]),Table18[[#This Row],[utcOffsetLookup]],Table18[[#This Row],[gmtOffset]])</f>
        <v>10</v>
      </c>
      <c r="J65" s="2"/>
    </row>
    <row r="66" spans="1:10" x14ac:dyDescent="0.3">
      <c r="A66" t="s">
        <v>2282</v>
      </c>
      <c r="B66" s="34" t="str">
        <f>IF(Table18[[#This Row],[gmtOffset]]&gt;0,"+",IF(Table18[[#This Row],[gmtOffset]]=0,"","-"))</f>
        <v>-</v>
      </c>
      <c r="C66">
        <v>-4</v>
      </c>
      <c r="D66" s="35">
        <f>Table18[[#This Row],[gmtOffset]]/24</f>
        <v>-0.16666666666666666</v>
      </c>
      <c r="E66">
        <f>COUNTIFS(Table18[iataAirportCode],"="&amp;Table18[[#This Row],[iataAirportCode]])</f>
        <v>1</v>
      </c>
      <c r="F66" t="b">
        <f>ISBLANK(Table18[[#This Row],[gmtOffset]])</f>
        <v>0</v>
      </c>
      <c r="G66" t="str">
        <f>IF(AND(Table18[[#This Row],[isblank]]=TRUE,Table18[[#This Row],[count]]&gt;1),"delete","")</f>
        <v/>
      </c>
      <c r="H66" s="2"/>
      <c r="I66" s="2">
        <f>IF(ISBLANK(Table18[[#This Row],[gmtOffset]]),Table18[[#This Row],[utcOffsetLookup]],Table18[[#This Row],[gmtOffset]])</f>
        <v>-4</v>
      </c>
      <c r="J66" s="2"/>
    </row>
    <row r="67" spans="1:10" x14ac:dyDescent="0.3">
      <c r="A67" t="s">
        <v>1675</v>
      </c>
      <c r="B67" s="34" t="str">
        <f>IF(Table18[[#This Row],[gmtOffset]]&gt;0,"+",IF(Table18[[#This Row],[gmtOffset]]=0,"","-"))</f>
        <v>-</v>
      </c>
      <c r="C67">
        <v>-6</v>
      </c>
      <c r="D67" s="35">
        <f>Table18[[#This Row],[gmtOffset]]/24</f>
        <v>-0.25</v>
      </c>
      <c r="E67">
        <f>COUNTIFS(Table18[iataAirportCode],"="&amp;Table18[[#This Row],[iataAirportCode]])</f>
        <v>1</v>
      </c>
      <c r="F67" t="b">
        <f>ISBLANK(Table18[[#This Row],[gmtOffset]])</f>
        <v>0</v>
      </c>
      <c r="G67" t="str">
        <f>IF(AND(Table18[[#This Row],[isblank]]=TRUE,Table18[[#This Row],[count]]&gt;1),"delete","")</f>
        <v/>
      </c>
      <c r="H67" s="2"/>
      <c r="I67" s="2">
        <f>IF(ISBLANK(Table18[[#This Row],[gmtOffset]]),Table18[[#This Row],[utcOffsetLookup]],Table18[[#This Row],[gmtOffset]])</f>
        <v>-6</v>
      </c>
      <c r="J67" s="2"/>
    </row>
    <row r="68" spans="1:10" x14ac:dyDescent="0.3">
      <c r="A68" t="s">
        <v>3302</v>
      </c>
      <c r="B68" s="34" t="str">
        <f>IF(Table18[[#This Row],[gmtOffset]]&gt;0,"+",IF(Table18[[#This Row],[gmtOffset]]=0,"","-"))</f>
        <v>-</v>
      </c>
      <c r="C68">
        <v>-4</v>
      </c>
      <c r="D68" s="35">
        <f>Table18[[#This Row],[gmtOffset]]/24</f>
        <v>-0.16666666666666666</v>
      </c>
      <c r="E68">
        <f>COUNTIFS(Table18[iataAirportCode],"="&amp;Table18[[#This Row],[iataAirportCode]])</f>
        <v>1</v>
      </c>
      <c r="F68" t="b">
        <f>ISBLANK(Table18[[#This Row],[gmtOffset]])</f>
        <v>0</v>
      </c>
      <c r="G68" t="str">
        <f>IF(AND(Table18[[#This Row],[isblank]]=TRUE,Table18[[#This Row],[count]]&gt;1),"delete","")</f>
        <v/>
      </c>
      <c r="H68" s="2"/>
      <c r="I68" s="2">
        <f>IF(ISBLANK(Table18[[#This Row],[gmtOffset]]),Table18[[#This Row],[utcOffsetLookup]],Table18[[#This Row],[gmtOffset]])</f>
        <v>-4</v>
      </c>
      <c r="J68" s="2"/>
    </row>
    <row r="69" spans="1:10" x14ac:dyDescent="0.3">
      <c r="A69" t="s">
        <v>2074</v>
      </c>
      <c r="B69" s="34" t="str">
        <f>IF(Table18[[#This Row],[gmtOffset]]&gt;0,"+",IF(Table18[[#This Row],[gmtOffset]]=0,"","-"))</f>
        <v>-</v>
      </c>
      <c r="C69">
        <v>-3</v>
      </c>
      <c r="D69" s="35">
        <f>Table18[[#This Row],[gmtOffset]]/24</f>
        <v>-0.125</v>
      </c>
      <c r="E69">
        <f>COUNTIFS(Table18[iataAirportCode],"="&amp;Table18[[#This Row],[iataAirportCode]])</f>
        <v>1</v>
      </c>
      <c r="F69" t="b">
        <f>ISBLANK(Table18[[#This Row],[gmtOffset]])</f>
        <v>0</v>
      </c>
      <c r="G69" t="str">
        <f>IF(AND(Table18[[#This Row],[isblank]]=TRUE,Table18[[#This Row],[count]]&gt;1),"delete","")</f>
        <v/>
      </c>
      <c r="H69" s="2"/>
      <c r="I69" s="2">
        <f>IF(ISBLANK(Table18[[#This Row],[gmtOffset]]),Table18[[#This Row],[utcOffsetLookup]],Table18[[#This Row],[gmtOffset]])</f>
        <v>-3</v>
      </c>
      <c r="J69" s="2"/>
    </row>
    <row r="70" spans="1:10" x14ac:dyDescent="0.3">
      <c r="A70" t="s">
        <v>1169</v>
      </c>
      <c r="B70" s="34" t="str">
        <f>IF(Table18[[#This Row],[gmtOffset]]&gt;0,"+",IF(Table18[[#This Row],[gmtOffset]]=0,"","-"))</f>
        <v>+</v>
      </c>
      <c r="C70">
        <v>2</v>
      </c>
      <c r="D70" s="35">
        <f>Table18[[#This Row],[gmtOffset]]/24</f>
        <v>8.3333333333333329E-2</v>
      </c>
      <c r="E70">
        <f>COUNTIFS(Table18[iataAirportCode],"="&amp;Table18[[#This Row],[iataAirportCode]])</f>
        <v>1</v>
      </c>
      <c r="F70" t="b">
        <f>ISBLANK(Table18[[#This Row],[gmtOffset]])</f>
        <v>0</v>
      </c>
      <c r="G70" t="str">
        <f>IF(AND(Table18[[#This Row],[isblank]]=TRUE,Table18[[#This Row],[count]]&gt;1),"delete","")</f>
        <v/>
      </c>
      <c r="H70" s="2"/>
      <c r="I70" s="2">
        <f>IF(ISBLANK(Table18[[#This Row],[gmtOffset]]),Table18[[#This Row],[utcOffsetLookup]],Table18[[#This Row],[gmtOffset]])</f>
        <v>2</v>
      </c>
      <c r="J70" s="2"/>
    </row>
    <row r="71" spans="1:10" x14ac:dyDescent="0.3">
      <c r="A71" t="s">
        <v>456</v>
      </c>
      <c r="B71" s="34" t="str">
        <f>IF(Table18[[#This Row],[gmtOffset]]&gt;0,"+",IF(Table18[[#This Row],[gmtOffset]]=0,"","-"))</f>
        <v>-</v>
      </c>
      <c r="C71">
        <v>-7</v>
      </c>
      <c r="D71" s="35">
        <f>Table18[[#This Row],[gmtOffset]]/24</f>
        <v>-0.29166666666666669</v>
      </c>
      <c r="E71">
        <f>COUNTIFS(Table18[iataAirportCode],"="&amp;Table18[[#This Row],[iataAirportCode]])</f>
        <v>1</v>
      </c>
      <c r="F71" t="b">
        <f>ISBLANK(Table18[[#This Row],[gmtOffset]])</f>
        <v>0</v>
      </c>
      <c r="G71" t="str">
        <f>IF(AND(Table18[[#This Row],[isblank]]=TRUE,Table18[[#This Row],[count]]&gt;1),"delete","")</f>
        <v/>
      </c>
      <c r="H71" s="2"/>
      <c r="I71" s="2">
        <f>IF(ISBLANK(Table18[[#This Row],[gmtOffset]]),Table18[[#This Row],[utcOffsetLookup]],Table18[[#This Row],[gmtOffset]])</f>
        <v>-7</v>
      </c>
      <c r="J71" s="2"/>
    </row>
    <row r="72" spans="1:10" x14ac:dyDescent="0.3">
      <c r="A72" t="s">
        <v>332</v>
      </c>
      <c r="B72" s="34" t="str">
        <f>IF(Table18[[#This Row],[gmtOffset]]&gt;0,"+",IF(Table18[[#This Row],[gmtOffset]]=0,"","-"))</f>
        <v>-</v>
      </c>
      <c r="C72">
        <v>-7</v>
      </c>
      <c r="D72" s="35">
        <f>Table18[[#This Row],[gmtOffset]]/24</f>
        <v>-0.29166666666666669</v>
      </c>
      <c r="E72">
        <f>COUNTIFS(Table18[iataAirportCode],"="&amp;Table18[[#This Row],[iataAirportCode]])</f>
        <v>1</v>
      </c>
      <c r="F72" t="b">
        <f>ISBLANK(Table18[[#This Row],[gmtOffset]])</f>
        <v>0</v>
      </c>
      <c r="G72" t="str">
        <f>IF(AND(Table18[[#This Row],[isblank]]=TRUE,Table18[[#This Row],[count]]&gt;1),"delete","")</f>
        <v/>
      </c>
      <c r="H72" s="2"/>
      <c r="I72" s="2">
        <f>IF(ISBLANK(Table18[[#This Row],[gmtOffset]]),Table18[[#This Row],[utcOffsetLookup]],Table18[[#This Row],[gmtOffset]])</f>
        <v>-7</v>
      </c>
      <c r="J72" s="2"/>
    </row>
    <row r="73" spans="1:10" x14ac:dyDescent="0.3">
      <c r="A73" t="s">
        <v>382</v>
      </c>
      <c r="B73" s="34" t="str">
        <f>IF(Table18[[#This Row],[gmtOffset]]&gt;0,"+",IF(Table18[[#This Row],[gmtOffset]]=0,"","-"))</f>
        <v>-</v>
      </c>
      <c r="C73">
        <v>-5</v>
      </c>
      <c r="D73" s="35">
        <f>Table18[[#This Row],[gmtOffset]]/24</f>
        <v>-0.20833333333333334</v>
      </c>
      <c r="E73">
        <f>COUNTIFS(Table18[iataAirportCode],"="&amp;Table18[[#This Row],[iataAirportCode]])</f>
        <v>1</v>
      </c>
      <c r="F73" t="b">
        <f>ISBLANK(Table18[[#This Row],[gmtOffset]])</f>
        <v>0</v>
      </c>
      <c r="G73" t="str">
        <f>IF(AND(Table18[[#This Row],[isblank]]=TRUE,Table18[[#This Row],[count]]&gt;1),"delete","")</f>
        <v/>
      </c>
      <c r="H73" s="2"/>
      <c r="I73" s="2">
        <f>IF(ISBLANK(Table18[[#This Row],[gmtOffset]]),Table18[[#This Row],[utcOffsetLookup]],Table18[[#This Row],[gmtOffset]])</f>
        <v>-5</v>
      </c>
      <c r="J73" s="2"/>
    </row>
    <row r="74" spans="1:10" x14ac:dyDescent="0.3">
      <c r="A74" t="s">
        <v>434</v>
      </c>
      <c r="B74" s="34" t="str">
        <f>IF(Table18[[#This Row],[gmtOffset]]&gt;0,"+",IF(Table18[[#This Row],[gmtOffset]]=0,"","-"))</f>
        <v>-</v>
      </c>
      <c r="C74">
        <v>-8</v>
      </c>
      <c r="D74" s="35">
        <f>Table18[[#This Row],[gmtOffset]]/24</f>
        <v>-0.33333333333333331</v>
      </c>
      <c r="E74">
        <f>COUNTIFS(Table18[iataAirportCode],"="&amp;Table18[[#This Row],[iataAirportCode]])</f>
        <v>1</v>
      </c>
      <c r="F74" t="b">
        <f>ISBLANK(Table18[[#This Row],[gmtOffset]])</f>
        <v>0</v>
      </c>
      <c r="G74" t="str">
        <f>IF(AND(Table18[[#This Row],[isblank]]=TRUE,Table18[[#This Row],[count]]&gt;1),"delete","")</f>
        <v/>
      </c>
      <c r="H74" s="2"/>
      <c r="I74" s="2">
        <f>IF(ISBLANK(Table18[[#This Row],[gmtOffset]]),Table18[[#This Row],[utcOffsetLookup]],Table18[[#This Row],[gmtOffset]])</f>
        <v>-8</v>
      </c>
      <c r="J74" s="2"/>
    </row>
    <row r="75" spans="1:10" x14ac:dyDescent="0.3">
      <c r="A75" t="s">
        <v>438</v>
      </c>
      <c r="B75" s="34" t="str">
        <f>IF(Table18[[#This Row],[gmtOffset]]&gt;0,"+",IF(Table18[[#This Row],[gmtOffset]]=0,"","-"))</f>
        <v>-</v>
      </c>
      <c r="C75">
        <v>-6</v>
      </c>
      <c r="D75" s="35">
        <f>Table18[[#This Row],[gmtOffset]]/24</f>
        <v>-0.25</v>
      </c>
      <c r="E75">
        <f>COUNTIFS(Table18[iataAirportCode],"="&amp;Table18[[#This Row],[iataAirportCode]])</f>
        <v>1</v>
      </c>
      <c r="F75" t="b">
        <f>ISBLANK(Table18[[#This Row],[gmtOffset]])</f>
        <v>0</v>
      </c>
      <c r="G75" t="str">
        <f>IF(AND(Table18[[#This Row],[isblank]]=TRUE,Table18[[#This Row],[count]]&gt;1),"delete","")</f>
        <v/>
      </c>
      <c r="H75" s="2"/>
      <c r="I75" s="2">
        <f>IF(ISBLANK(Table18[[#This Row],[gmtOffset]]),Table18[[#This Row],[utcOffsetLookup]],Table18[[#This Row],[gmtOffset]])</f>
        <v>-6</v>
      </c>
      <c r="J75" s="2"/>
    </row>
    <row r="76" spans="1:10" x14ac:dyDescent="0.3">
      <c r="A76" t="s">
        <v>1656</v>
      </c>
      <c r="B76" s="34" t="str">
        <f>IF(Table18[[#This Row],[gmtOffset]]&gt;0,"+",IF(Table18[[#This Row],[gmtOffset]]=0,"","-"))</f>
        <v>-</v>
      </c>
      <c r="C76">
        <v>-5</v>
      </c>
      <c r="D76" s="35">
        <f>Table18[[#This Row],[gmtOffset]]/24</f>
        <v>-0.20833333333333334</v>
      </c>
      <c r="E76">
        <f>COUNTIFS(Table18[iataAirportCode],"="&amp;Table18[[#This Row],[iataAirportCode]])</f>
        <v>1</v>
      </c>
      <c r="F76" t="b">
        <f>ISBLANK(Table18[[#This Row],[gmtOffset]])</f>
        <v>0</v>
      </c>
      <c r="G76" t="str">
        <f>IF(AND(Table18[[#This Row],[isblank]]=TRUE,Table18[[#This Row],[count]]&gt;1),"delete","")</f>
        <v/>
      </c>
      <c r="H76" s="2"/>
      <c r="I76" s="2">
        <f>IF(ISBLANK(Table18[[#This Row],[gmtOffset]]),Table18[[#This Row],[utcOffsetLookup]],Table18[[#This Row],[gmtOffset]])</f>
        <v>-5</v>
      </c>
      <c r="J76" s="2"/>
    </row>
    <row r="77" spans="1:10" x14ac:dyDescent="0.3">
      <c r="A77" t="s">
        <v>2137</v>
      </c>
      <c r="B77" s="34" t="str">
        <f>IF(Table18[[#This Row],[gmtOffset]]&gt;0,"+",IF(Table18[[#This Row],[gmtOffset]]=0,"","-"))</f>
        <v>-</v>
      </c>
      <c r="C77">
        <v>-4</v>
      </c>
      <c r="D77" s="35">
        <f>Table18[[#This Row],[gmtOffset]]/24</f>
        <v>-0.16666666666666666</v>
      </c>
      <c r="E77">
        <f>COUNTIFS(Table18[iataAirportCode],"="&amp;Table18[[#This Row],[iataAirportCode]])</f>
        <v>1</v>
      </c>
      <c r="F77" t="b">
        <f>ISBLANK(Table18[[#This Row],[gmtOffset]])</f>
        <v>0</v>
      </c>
      <c r="G77" t="str">
        <f>IF(AND(Table18[[#This Row],[isblank]]=TRUE,Table18[[#This Row],[count]]&gt;1),"delete","")</f>
        <v/>
      </c>
      <c r="H77" s="2"/>
      <c r="I77" s="2">
        <f>IF(ISBLANK(Table18[[#This Row],[gmtOffset]]),Table18[[#This Row],[utcOffsetLookup]],Table18[[#This Row],[gmtOffset]])</f>
        <v>-4</v>
      </c>
      <c r="J77" s="2"/>
    </row>
    <row r="78" spans="1:10" x14ac:dyDescent="0.3">
      <c r="A78" t="s">
        <v>172</v>
      </c>
      <c r="B78" s="34" t="str">
        <f>IF(Table18[[#This Row],[gmtOffset]]&gt;0,"+",IF(Table18[[#This Row],[gmtOffset]]=0,"","-"))</f>
        <v>+</v>
      </c>
      <c r="C78">
        <v>8</v>
      </c>
      <c r="D78" s="35">
        <f>Table18[[#This Row],[gmtOffset]]/24</f>
        <v>0.33333333333333331</v>
      </c>
      <c r="E78">
        <f>COUNTIFS(Table18[iataAirportCode],"="&amp;Table18[[#This Row],[iataAirportCode]])</f>
        <v>1</v>
      </c>
      <c r="F78" t="b">
        <f>ISBLANK(Table18[[#This Row],[gmtOffset]])</f>
        <v>0</v>
      </c>
      <c r="G78" t="str">
        <f>IF(AND(Table18[[#This Row],[isblank]]=TRUE,Table18[[#This Row],[count]]&gt;1),"delete","")</f>
        <v/>
      </c>
      <c r="H78" s="2"/>
      <c r="I78" s="2">
        <f>IF(ISBLANK(Table18[[#This Row],[gmtOffset]]),Table18[[#This Row],[utcOffsetLookup]],Table18[[#This Row],[gmtOffset]])</f>
        <v>8</v>
      </c>
      <c r="J78" s="2"/>
    </row>
    <row r="79" spans="1:10" x14ac:dyDescent="0.3">
      <c r="A79" t="s">
        <v>2692</v>
      </c>
      <c r="B79" s="34" t="str">
        <f>IF(Table18[[#This Row],[gmtOffset]]&gt;0,"+",IF(Table18[[#This Row],[gmtOffset]]=0,"","-"))</f>
        <v>+</v>
      </c>
      <c r="C79">
        <v>8</v>
      </c>
      <c r="D79" s="35">
        <f>Table18[[#This Row],[gmtOffset]]/24</f>
        <v>0.33333333333333331</v>
      </c>
      <c r="E79">
        <f>COUNTIFS(Table18[iataAirportCode],"="&amp;Table18[[#This Row],[iataAirportCode]])</f>
        <v>1</v>
      </c>
      <c r="F79" t="b">
        <f>ISBLANK(Table18[[#This Row],[gmtOffset]])</f>
        <v>0</v>
      </c>
      <c r="G79" t="str">
        <f>IF(AND(Table18[[#This Row],[isblank]]=TRUE,Table18[[#This Row],[count]]&gt;1),"delete","")</f>
        <v/>
      </c>
      <c r="H79" s="2"/>
      <c r="I79" s="2">
        <f>IF(ISBLANK(Table18[[#This Row],[gmtOffset]]),Table18[[#This Row],[utcOffsetLookup]],Table18[[#This Row],[gmtOffset]])</f>
        <v>8</v>
      </c>
      <c r="J79" s="2"/>
    </row>
    <row r="80" spans="1:10" x14ac:dyDescent="0.3">
      <c r="A80" t="s">
        <v>2166</v>
      </c>
      <c r="B80" s="34" t="str">
        <f>IF(Table18[[#This Row],[gmtOffset]]&gt;0,"+",IF(Table18[[#This Row],[gmtOffset]]=0,"","-"))</f>
        <v>-</v>
      </c>
      <c r="C80">
        <v>-5</v>
      </c>
      <c r="D80" s="35">
        <f>Table18[[#This Row],[gmtOffset]]/24</f>
        <v>-0.20833333333333334</v>
      </c>
      <c r="E80">
        <f>COUNTIFS(Table18[iataAirportCode],"="&amp;Table18[[#This Row],[iataAirportCode]])</f>
        <v>1</v>
      </c>
      <c r="F80" t="b">
        <f>ISBLANK(Table18[[#This Row],[gmtOffset]])</f>
        <v>0</v>
      </c>
      <c r="G80" t="str">
        <f>IF(AND(Table18[[#This Row],[isblank]]=TRUE,Table18[[#This Row],[count]]&gt;1),"delete","")</f>
        <v/>
      </c>
      <c r="H80" s="2"/>
      <c r="I80" s="2">
        <f>IF(ISBLANK(Table18[[#This Row],[gmtOffset]]),Table18[[#This Row],[utcOffsetLookup]],Table18[[#This Row],[gmtOffset]])</f>
        <v>-5</v>
      </c>
      <c r="J80" s="2"/>
    </row>
    <row r="81" spans="1:10" x14ac:dyDescent="0.3">
      <c r="A81" t="s">
        <v>2195</v>
      </c>
      <c r="B81" s="34" t="str">
        <f>IF(Table18[[#This Row],[gmtOffset]]&gt;0,"+",IF(Table18[[#This Row],[gmtOffset]]=0,"","-"))</f>
        <v>-</v>
      </c>
      <c r="C81">
        <v>-5</v>
      </c>
      <c r="D81" s="35">
        <f>Table18[[#This Row],[gmtOffset]]/24</f>
        <v>-0.20833333333333334</v>
      </c>
      <c r="E81">
        <f>COUNTIFS(Table18[iataAirportCode],"="&amp;Table18[[#This Row],[iataAirportCode]])</f>
        <v>1</v>
      </c>
      <c r="F81" t="b">
        <f>ISBLANK(Table18[[#This Row],[gmtOffset]])</f>
        <v>0</v>
      </c>
      <c r="G81" t="str">
        <f>IF(AND(Table18[[#This Row],[isblank]]=TRUE,Table18[[#This Row],[count]]&gt;1),"delete","")</f>
        <v/>
      </c>
      <c r="H81" s="2"/>
      <c r="I81" s="2">
        <f>IF(ISBLANK(Table18[[#This Row],[gmtOffset]]),Table18[[#This Row],[utcOffsetLookup]],Table18[[#This Row],[gmtOffset]])</f>
        <v>-5</v>
      </c>
      <c r="J81" s="2"/>
    </row>
    <row r="82" spans="1:10" x14ac:dyDescent="0.3">
      <c r="A82" t="s">
        <v>1626</v>
      </c>
      <c r="B82" s="34" t="str">
        <f>IF(Table18[[#This Row],[gmtOffset]]&gt;0,"+",IF(Table18[[#This Row],[gmtOffset]]=0,"","-"))</f>
        <v>-</v>
      </c>
      <c r="C82">
        <v>-6</v>
      </c>
      <c r="D82" s="35">
        <f>Table18[[#This Row],[gmtOffset]]/24</f>
        <v>-0.25</v>
      </c>
      <c r="E82">
        <f>COUNTIFS(Table18[iataAirportCode],"="&amp;Table18[[#This Row],[iataAirportCode]])</f>
        <v>1</v>
      </c>
      <c r="F82" t="b">
        <f>ISBLANK(Table18[[#This Row],[gmtOffset]])</f>
        <v>0</v>
      </c>
      <c r="G82" t="str">
        <f>IF(AND(Table18[[#This Row],[isblank]]=TRUE,Table18[[#This Row],[count]]&gt;1),"delete","")</f>
        <v/>
      </c>
      <c r="H82" s="2"/>
      <c r="I82" s="2">
        <f>IF(ISBLANK(Table18[[#This Row],[gmtOffset]]),Table18[[#This Row],[utcOffsetLookup]],Table18[[#This Row],[gmtOffset]])</f>
        <v>-6</v>
      </c>
      <c r="J82" s="2"/>
    </row>
    <row r="83" spans="1:10" x14ac:dyDescent="0.3">
      <c r="A83" t="s">
        <v>1629</v>
      </c>
      <c r="B83" s="34" t="str">
        <f>IF(Table18[[#This Row],[gmtOffset]]&gt;0,"+",IF(Table18[[#This Row],[gmtOffset]]=0,"","-"))</f>
        <v>-</v>
      </c>
      <c r="C83">
        <v>-6</v>
      </c>
      <c r="D83" s="35">
        <f>Table18[[#This Row],[gmtOffset]]/24</f>
        <v>-0.25</v>
      </c>
      <c r="E83">
        <f>COUNTIFS(Table18[iataAirportCode],"="&amp;Table18[[#This Row],[iataAirportCode]])</f>
        <v>1</v>
      </c>
      <c r="F83" t="b">
        <f>ISBLANK(Table18[[#This Row],[gmtOffset]])</f>
        <v>0</v>
      </c>
      <c r="G83" t="str">
        <f>IF(AND(Table18[[#This Row],[isblank]]=TRUE,Table18[[#This Row],[count]]&gt;1),"delete","")</f>
        <v/>
      </c>
      <c r="H83" s="2"/>
      <c r="I83" s="2">
        <f>IF(ISBLANK(Table18[[#This Row],[gmtOffset]]),Table18[[#This Row],[utcOffsetLookup]],Table18[[#This Row],[gmtOffset]])</f>
        <v>-6</v>
      </c>
      <c r="J83" s="2"/>
    </row>
    <row r="84" spans="1:10" x14ac:dyDescent="0.3">
      <c r="A84" t="s">
        <v>1644</v>
      </c>
      <c r="B84" s="34" t="str">
        <f>IF(Table18[[#This Row],[gmtOffset]]&gt;0,"+",IF(Table18[[#This Row],[gmtOffset]]=0,"","-"))</f>
        <v>-</v>
      </c>
      <c r="C84">
        <v>-5</v>
      </c>
      <c r="D84" s="35">
        <f>Table18[[#This Row],[gmtOffset]]/24</f>
        <v>-0.20833333333333334</v>
      </c>
      <c r="E84">
        <f>COUNTIFS(Table18[iataAirportCode],"="&amp;Table18[[#This Row],[iataAirportCode]])</f>
        <v>1</v>
      </c>
      <c r="F84" t="b">
        <f>ISBLANK(Table18[[#This Row],[gmtOffset]])</f>
        <v>0</v>
      </c>
      <c r="G84" t="str">
        <f>IF(AND(Table18[[#This Row],[isblank]]=TRUE,Table18[[#This Row],[count]]&gt;1),"delete","")</f>
        <v/>
      </c>
      <c r="H84" s="2"/>
      <c r="I84" s="2">
        <f>IF(ISBLANK(Table18[[#This Row],[gmtOffset]]),Table18[[#This Row],[utcOffsetLookup]],Table18[[#This Row],[gmtOffset]])</f>
        <v>-5</v>
      </c>
      <c r="J84" s="2"/>
    </row>
    <row r="85" spans="1:10" x14ac:dyDescent="0.3">
      <c r="A85" t="s">
        <v>2284</v>
      </c>
      <c r="B85" s="34" t="str">
        <f>IF(Table18[[#This Row],[gmtOffset]]&gt;0,"+",IF(Table18[[#This Row],[gmtOffset]]=0,"","-"))</f>
        <v>-</v>
      </c>
      <c r="C85">
        <v>-4</v>
      </c>
      <c r="D85" s="35">
        <f>Table18[[#This Row],[gmtOffset]]/24</f>
        <v>-0.16666666666666666</v>
      </c>
      <c r="E85">
        <f>COUNTIFS(Table18[iataAirportCode],"="&amp;Table18[[#This Row],[iataAirportCode]])</f>
        <v>1</v>
      </c>
      <c r="F85" t="b">
        <f>ISBLANK(Table18[[#This Row],[gmtOffset]])</f>
        <v>0</v>
      </c>
      <c r="G85" t="str">
        <f>IF(AND(Table18[[#This Row],[isblank]]=TRUE,Table18[[#This Row],[count]]&gt;1),"delete","")</f>
        <v/>
      </c>
      <c r="H85" s="2"/>
      <c r="I85" s="2">
        <f>IF(ISBLANK(Table18[[#This Row],[gmtOffset]]),Table18[[#This Row],[utcOffsetLookup]],Table18[[#This Row],[gmtOffset]])</f>
        <v>-4</v>
      </c>
      <c r="J85" s="2"/>
    </row>
    <row r="86" spans="1:10" x14ac:dyDescent="0.3">
      <c r="A86" t="s">
        <v>1527</v>
      </c>
      <c r="B86" s="34" t="str">
        <f>IF(Table18[[#This Row],[gmtOffset]]&gt;0,"+",IF(Table18[[#This Row],[gmtOffset]]=0,"","-"))</f>
        <v>-</v>
      </c>
      <c r="C86">
        <v>-4</v>
      </c>
      <c r="D86" s="35">
        <f>Table18[[#This Row],[gmtOffset]]/24</f>
        <v>-0.16666666666666666</v>
      </c>
      <c r="E86">
        <f>COUNTIFS(Table18[iataAirportCode],"="&amp;Table18[[#This Row],[iataAirportCode]])</f>
        <v>1</v>
      </c>
      <c r="F86" t="b">
        <f>ISBLANK(Table18[[#This Row],[gmtOffset]])</f>
        <v>0</v>
      </c>
      <c r="G86" t="str">
        <f>IF(AND(Table18[[#This Row],[isblank]]=TRUE,Table18[[#This Row],[count]]&gt;1),"delete","")</f>
        <v/>
      </c>
      <c r="H86" s="2"/>
      <c r="I86" s="2">
        <f>IF(ISBLANK(Table18[[#This Row],[gmtOffset]]),Table18[[#This Row],[utcOffsetLookup]],Table18[[#This Row],[gmtOffset]])</f>
        <v>-4</v>
      </c>
      <c r="J86" s="2"/>
    </row>
    <row r="87" spans="1:10" x14ac:dyDescent="0.3">
      <c r="A87" t="s">
        <v>1530</v>
      </c>
      <c r="B87" s="34" t="str">
        <f>IF(Table18[[#This Row],[gmtOffset]]&gt;0,"+",IF(Table18[[#This Row],[gmtOffset]]=0,"","-"))</f>
        <v>-</v>
      </c>
      <c r="C87">
        <v>-4</v>
      </c>
      <c r="D87" s="35">
        <f>Table18[[#This Row],[gmtOffset]]/24</f>
        <v>-0.16666666666666666</v>
      </c>
      <c r="E87">
        <f>COUNTIFS(Table18[iataAirportCode],"="&amp;Table18[[#This Row],[iataAirportCode]])</f>
        <v>1</v>
      </c>
      <c r="F87" t="b">
        <f>ISBLANK(Table18[[#This Row],[gmtOffset]])</f>
        <v>0</v>
      </c>
      <c r="G87" t="str">
        <f>IF(AND(Table18[[#This Row],[isblank]]=TRUE,Table18[[#This Row],[count]]&gt;1),"delete","")</f>
        <v/>
      </c>
      <c r="H87" s="2"/>
      <c r="I87" s="2">
        <f>IF(ISBLANK(Table18[[#This Row],[gmtOffset]]),Table18[[#This Row],[utcOffsetLookup]],Table18[[#This Row],[gmtOffset]])</f>
        <v>-4</v>
      </c>
      <c r="J87" s="2"/>
    </row>
    <row r="88" spans="1:10" x14ac:dyDescent="0.3">
      <c r="A88" t="s">
        <v>1533</v>
      </c>
      <c r="B88" s="34" t="str">
        <f>IF(Table18[[#This Row],[gmtOffset]]&gt;0,"+",IF(Table18[[#This Row],[gmtOffset]]=0,"","-"))</f>
        <v>-</v>
      </c>
      <c r="C88">
        <v>-4</v>
      </c>
      <c r="D88" s="35">
        <f>Table18[[#This Row],[gmtOffset]]/24</f>
        <v>-0.16666666666666666</v>
      </c>
      <c r="E88">
        <f>COUNTIFS(Table18[iataAirportCode],"="&amp;Table18[[#This Row],[iataAirportCode]])</f>
        <v>1</v>
      </c>
      <c r="F88" t="b">
        <f>ISBLANK(Table18[[#This Row],[gmtOffset]])</f>
        <v>0</v>
      </c>
      <c r="G88" t="str">
        <f>IF(AND(Table18[[#This Row],[isblank]]=TRUE,Table18[[#This Row],[count]]&gt;1),"delete","")</f>
        <v/>
      </c>
      <c r="H88" s="2"/>
      <c r="I88" s="2">
        <f>IF(ISBLANK(Table18[[#This Row],[gmtOffset]]),Table18[[#This Row],[utcOffsetLookup]],Table18[[#This Row],[gmtOffset]])</f>
        <v>-4</v>
      </c>
      <c r="J88" s="2"/>
    </row>
    <row r="89" spans="1:10" x14ac:dyDescent="0.3">
      <c r="A89" t="s">
        <v>1532</v>
      </c>
      <c r="B89" s="34" t="str">
        <f>IF(Table18[[#This Row],[gmtOffset]]&gt;0,"+",IF(Table18[[#This Row],[gmtOffset]]=0,"","-"))</f>
        <v>-</v>
      </c>
      <c r="C89">
        <v>-4</v>
      </c>
      <c r="D89" s="35">
        <f>Table18[[#This Row],[gmtOffset]]/24</f>
        <v>-0.16666666666666666</v>
      </c>
      <c r="E89">
        <f>COUNTIFS(Table18[iataAirportCode],"="&amp;Table18[[#This Row],[iataAirportCode]])</f>
        <v>1</v>
      </c>
      <c r="F89" t="b">
        <f>ISBLANK(Table18[[#This Row],[gmtOffset]])</f>
        <v>0</v>
      </c>
      <c r="G89" t="str">
        <f>IF(AND(Table18[[#This Row],[isblank]]=TRUE,Table18[[#This Row],[count]]&gt;1),"delete","")</f>
        <v/>
      </c>
      <c r="H89" s="2"/>
      <c r="I89" s="2">
        <f>IF(ISBLANK(Table18[[#This Row],[gmtOffset]]),Table18[[#This Row],[utcOffsetLookup]],Table18[[#This Row],[gmtOffset]])</f>
        <v>-4</v>
      </c>
      <c r="J89" s="2"/>
    </row>
    <row r="90" spans="1:10" x14ac:dyDescent="0.3">
      <c r="A90" t="s">
        <v>2153</v>
      </c>
      <c r="B90" s="34" t="str">
        <f>IF(Table18[[#This Row],[gmtOffset]]&gt;0,"+",IF(Table18[[#This Row],[gmtOffset]]=0,"","-"))</f>
        <v>-</v>
      </c>
      <c r="C90">
        <v>-5</v>
      </c>
      <c r="D90" s="35">
        <f>Table18[[#This Row],[gmtOffset]]/24</f>
        <v>-0.20833333333333334</v>
      </c>
      <c r="E90">
        <f>COUNTIFS(Table18[iataAirportCode],"="&amp;Table18[[#This Row],[iataAirportCode]])</f>
        <v>1</v>
      </c>
      <c r="F90" t="b">
        <f>ISBLANK(Table18[[#This Row],[gmtOffset]])</f>
        <v>0</v>
      </c>
      <c r="G90" t="str">
        <f>IF(AND(Table18[[#This Row],[isblank]]=TRUE,Table18[[#This Row],[count]]&gt;1),"delete","")</f>
        <v/>
      </c>
      <c r="H90" s="2"/>
      <c r="I90" s="2">
        <f>IF(ISBLANK(Table18[[#This Row],[gmtOffset]]),Table18[[#This Row],[utcOffsetLookup]],Table18[[#This Row],[gmtOffset]])</f>
        <v>-5</v>
      </c>
      <c r="J90" s="2"/>
    </row>
    <row r="91" spans="1:10" x14ac:dyDescent="0.3">
      <c r="A91" t="s">
        <v>2158</v>
      </c>
      <c r="B91" s="34" t="str">
        <f>IF(Table18[[#This Row],[gmtOffset]]&gt;0,"+",IF(Table18[[#This Row],[gmtOffset]]=0,"","-"))</f>
        <v>-</v>
      </c>
      <c r="C91">
        <v>-5</v>
      </c>
      <c r="D91" s="35">
        <f>Table18[[#This Row],[gmtOffset]]/24</f>
        <v>-0.20833333333333334</v>
      </c>
      <c r="E91">
        <f>COUNTIFS(Table18[iataAirportCode],"="&amp;Table18[[#This Row],[iataAirportCode]])</f>
        <v>1</v>
      </c>
      <c r="F91" t="b">
        <f>ISBLANK(Table18[[#This Row],[gmtOffset]])</f>
        <v>0</v>
      </c>
      <c r="G91" t="str">
        <f>IF(AND(Table18[[#This Row],[isblank]]=TRUE,Table18[[#This Row],[count]]&gt;1),"delete","")</f>
        <v/>
      </c>
      <c r="H91" s="2"/>
      <c r="I91" s="2">
        <f>IF(ISBLANK(Table18[[#This Row],[gmtOffset]]),Table18[[#This Row],[utcOffsetLookup]],Table18[[#This Row],[gmtOffset]])</f>
        <v>-5</v>
      </c>
      <c r="J91" s="2"/>
    </row>
    <row r="92" spans="1:10" x14ac:dyDescent="0.3">
      <c r="A92" t="s">
        <v>1287</v>
      </c>
      <c r="B92" s="34" t="str">
        <f>IF(Table18[[#This Row],[gmtOffset]]&gt;0,"+",IF(Table18[[#This Row],[gmtOffset]]=0,"","-"))</f>
        <v>+</v>
      </c>
      <c r="C92">
        <v>1</v>
      </c>
      <c r="D92" s="35">
        <f>Table18[[#This Row],[gmtOffset]]/24</f>
        <v>4.1666666666666664E-2</v>
      </c>
      <c r="E92">
        <f>COUNTIFS(Table18[iataAirportCode],"="&amp;Table18[[#This Row],[iataAirportCode]])</f>
        <v>1</v>
      </c>
      <c r="F92" t="b">
        <f>ISBLANK(Table18[[#This Row],[gmtOffset]])</f>
        <v>0</v>
      </c>
      <c r="G92" t="str">
        <f>IF(AND(Table18[[#This Row],[isblank]]=TRUE,Table18[[#This Row],[count]]&gt;1),"delete","")</f>
        <v/>
      </c>
      <c r="H92" s="2"/>
      <c r="I92" s="2">
        <f>IF(ISBLANK(Table18[[#This Row],[gmtOffset]]),Table18[[#This Row],[utcOffsetLookup]],Table18[[#This Row],[gmtOffset]])</f>
        <v>1</v>
      </c>
      <c r="J92" s="2"/>
    </row>
    <row r="93" spans="1:10" x14ac:dyDescent="0.3">
      <c r="A93" t="s">
        <v>3307</v>
      </c>
      <c r="B93" s="34" t="str">
        <f>IF(Table18[[#This Row],[gmtOffset]]&gt;0,"+",IF(Table18[[#This Row],[gmtOffset]]=0,"","-"))</f>
        <v>-</v>
      </c>
      <c r="C93">
        <v>-10</v>
      </c>
      <c r="D93" s="35">
        <f>Table18[[#This Row],[gmtOffset]]/24</f>
        <v>-0.41666666666666669</v>
      </c>
      <c r="E93">
        <f>COUNTIFS(Table18[iataAirportCode],"="&amp;Table18[[#This Row],[iataAirportCode]])</f>
        <v>1</v>
      </c>
      <c r="F93" t="b">
        <f>ISBLANK(Table18[[#This Row],[gmtOffset]])</f>
        <v>0</v>
      </c>
      <c r="G93" t="str">
        <f>IF(AND(Table18[[#This Row],[isblank]]=TRUE,Table18[[#This Row],[count]]&gt;1),"delete","")</f>
        <v/>
      </c>
      <c r="H93" s="2"/>
      <c r="I93" s="2">
        <f>IF(ISBLANK(Table18[[#This Row],[gmtOffset]]),Table18[[#This Row],[utcOffsetLookup]],Table18[[#This Row],[gmtOffset]])</f>
        <v>-10</v>
      </c>
      <c r="J93" s="2"/>
    </row>
    <row r="94" spans="1:10" x14ac:dyDescent="0.3">
      <c r="A94" t="s">
        <v>585</v>
      </c>
      <c r="B94" s="34" t="str">
        <f>IF(Table18[[#This Row],[gmtOffset]]&gt;0,"+",IF(Table18[[#This Row],[gmtOffset]]=0,"","-"))</f>
        <v>+</v>
      </c>
      <c r="C94">
        <v>1</v>
      </c>
      <c r="D94" s="35">
        <f>Table18[[#This Row],[gmtOffset]]/24</f>
        <v>4.1666666666666664E-2</v>
      </c>
      <c r="E94">
        <f>COUNTIFS(Table18[iataAirportCode],"="&amp;Table18[[#This Row],[iataAirportCode]])</f>
        <v>1</v>
      </c>
      <c r="F94" t="b">
        <f>ISBLANK(Table18[[#This Row],[gmtOffset]])</f>
        <v>0</v>
      </c>
      <c r="G94" t="str">
        <f>IF(AND(Table18[[#This Row],[isblank]]=TRUE,Table18[[#This Row],[count]]&gt;1),"delete","")</f>
        <v/>
      </c>
      <c r="H94" s="2"/>
      <c r="I94" s="2">
        <f>IF(ISBLANK(Table18[[#This Row],[gmtOffset]]),Table18[[#This Row],[utcOffsetLookup]],Table18[[#This Row],[gmtOffset]])</f>
        <v>1</v>
      </c>
      <c r="J94" s="2"/>
    </row>
    <row r="95" spans="1:10" x14ac:dyDescent="0.3">
      <c r="A95" t="s">
        <v>580</v>
      </c>
      <c r="B95" s="34" t="str">
        <f>IF(Table18[[#This Row],[gmtOffset]]&gt;0,"+",IF(Table18[[#This Row],[gmtOffset]]=0,"","-"))</f>
        <v>+</v>
      </c>
      <c r="C95">
        <v>1</v>
      </c>
      <c r="D95" s="35">
        <f>Table18[[#This Row],[gmtOffset]]/24</f>
        <v>4.1666666666666664E-2</v>
      </c>
      <c r="E95">
        <f>COUNTIFS(Table18[iataAirportCode],"="&amp;Table18[[#This Row],[iataAirportCode]])</f>
        <v>1</v>
      </c>
      <c r="F95" t="b">
        <f>ISBLANK(Table18[[#This Row],[gmtOffset]])</f>
        <v>0</v>
      </c>
      <c r="G95" t="str">
        <f>IF(AND(Table18[[#This Row],[isblank]]=TRUE,Table18[[#This Row],[count]]&gt;1),"delete","")</f>
        <v/>
      </c>
      <c r="H95" s="2"/>
      <c r="I95" s="2">
        <f>IF(ISBLANK(Table18[[#This Row],[gmtOffset]]),Table18[[#This Row],[utcOffsetLookup]],Table18[[#This Row],[gmtOffset]])</f>
        <v>1</v>
      </c>
      <c r="J95" s="2"/>
    </row>
    <row r="96" spans="1:10" x14ac:dyDescent="0.3">
      <c r="A96" t="s">
        <v>3963</v>
      </c>
      <c r="B96" s="34" t="str">
        <f>IF(Table18[[#This Row],[gmtOffset]]&gt;0,"+",IF(Table18[[#This Row],[gmtOffset]]=0,"","-"))</f>
        <v>-</v>
      </c>
      <c r="C96">
        <v>-4</v>
      </c>
      <c r="D96" s="35">
        <f>Table18[[#This Row],[gmtOffset]]/24</f>
        <v>-0.16666666666666666</v>
      </c>
      <c r="E96">
        <f>COUNTIFS(Table18[iataAirportCode],"="&amp;Table18[[#This Row],[iataAirportCode]])</f>
        <v>1</v>
      </c>
      <c r="F96" t="b">
        <f>ISBLANK(Table18[[#This Row],[gmtOffset]])</f>
        <v>0</v>
      </c>
      <c r="G96" t="str">
        <f>IF(AND(Table18[[#This Row],[isblank]]=TRUE,Table18[[#This Row],[count]]&gt;1),"delete","")</f>
        <v/>
      </c>
      <c r="H96" s="2"/>
      <c r="I96" s="2">
        <f>IF(ISBLANK(Table18[[#This Row],[gmtOffset]]),Table18[[#This Row],[utcOffsetLookup]],Table18[[#This Row],[gmtOffset]])</f>
        <v>-4</v>
      </c>
      <c r="J96" s="2"/>
    </row>
    <row r="97" spans="1:10" x14ac:dyDescent="0.3">
      <c r="A97" t="s">
        <v>2291</v>
      </c>
      <c r="B97" s="34" t="str">
        <f>IF(Table18[[#This Row],[gmtOffset]]&gt;0,"+",IF(Table18[[#This Row],[gmtOffset]]=0,"","-"))</f>
        <v>-</v>
      </c>
      <c r="C97">
        <v>-4</v>
      </c>
      <c r="D97" s="35">
        <f>Table18[[#This Row],[gmtOffset]]/24</f>
        <v>-0.16666666666666666</v>
      </c>
      <c r="E97">
        <f>COUNTIFS(Table18[iataAirportCode],"="&amp;Table18[[#This Row],[iataAirportCode]])</f>
        <v>1</v>
      </c>
      <c r="F97" t="b">
        <f>ISBLANK(Table18[[#This Row],[gmtOffset]])</f>
        <v>0</v>
      </c>
      <c r="G97" t="str">
        <f>IF(AND(Table18[[#This Row],[isblank]]=TRUE,Table18[[#This Row],[count]]&gt;1),"delete","")</f>
        <v/>
      </c>
      <c r="H97" s="2"/>
      <c r="I97" s="2">
        <f>IF(ISBLANK(Table18[[#This Row],[gmtOffset]]),Table18[[#This Row],[utcOffsetLookup]],Table18[[#This Row],[gmtOffset]])</f>
        <v>-4</v>
      </c>
      <c r="J97" s="2"/>
    </row>
    <row r="98" spans="1:10" x14ac:dyDescent="0.3">
      <c r="A98" t="s">
        <v>1870</v>
      </c>
      <c r="B98" s="34" t="str">
        <f>IF(Table18[[#This Row],[gmtOffset]]&gt;0,"+",IF(Table18[[#This Row],[gmtOffset]]=0,"","-"))</f>
        <v>+</v>
      </c>
      <c r="C98">
        <v>10</v>
      </c>
      <c r="D98" s="35">
        <f>Table18[[#This Row],[gmtOffset]]/24</f>
        <v>0.41666666666666669</v>
      </c>
      <c r="E98">
        <f>COUNTIFS(Table18[iataAirportCode],"="&amp;Table18[[#This Row],[iataAirportCode]])</f>
        <v>1</v>
      </c>
      <c r="F98" t="b">
        <f>ISBLANK(Table18[[#This Row],[gmtOffset]])</f>
        <v>0</v>
      </c>
      <c r="G98" t="str">
        <f>IF(AND(Table18[[#This Row],[isblank]]=TRUE,Table18[[#This Row],[count]]&gt;1),"delete","")</f>
        <v/>
      </c>
      <c r="H98" s="2"/>
      <c r="I98" s="2">
        <f>IF(ISBLANK(Table18[[#This Row],[gmtOffset]]),Table18[[#This Row],[utcOffsetLookup]],Table18[[#This Row],[gmtOffset]])</f>
        <v>10</v>
      </c>
      <c r="J98" s="2"/>
    </row>
    <row r="99" spans="1:10" x14ac:dyDescent="0.3">
      <c r="A99" t="s">
        <v>1536</v>
      </c>
      <c r="B99" s="34" t="str">
        <f>IF(Table18[[#This Row],[gmtOffset]]&gt;0,"+",IF(Table18[[#This Row],[gmtOffset]]=0,"","-"))</f>
        <v>-</v>
      </c>
      <c r="C99">
        <v>-6</v>
      </c>
      <c r="D99" s="35">
        <f>Table18[[#This Row],[gmtOffset]]/24</f>
        <v>-0.25</v>
      </c>
      <c r="E99">
        <f>COUNTIFS(Table18[iataAirportCode],"="&amp;Table18[[#This Row],[iataAirportCode]])</f>
        <v>1</v>
      </c>
      <c r="F99" t="b">
        <f>ISBLANK(Table18[[#This Row],[gmtOffset]])</f>
        <v>0</v>
      </c>
      <c r="G99" t="str">
        <f>IF(AND(Table18[[#This Row],[isblank]]=TRUE,Table18[[#This Row],[count]]&gt;1),"delete","")</f>
        <v/>
      </c>
      <c r="H99" s="2"/>
      <c r="I99" s="2">
        <f>IF(ISBLANK(Table18[[#This Row],[gmtOffset]]),Table18[[#This Row],[utcOffsetLookup]],Table18[[#This Row],[gmtOffset]])</f>
        <v>-6</v>
      </c>
      <c r="J99" s="2"/>
    </row>
    <row r="100" spans="1:10" x14ac:dyDescent="0.3">
      <c r="A100" t="s">
        <v>104</v>
      </c>
      <c r="B100" s="34" t="str">
        <f>IF(Table18[[#This Row],[gmtOffset]]&gt;0,"+",IF(Table18[[#This Row],[gmtOffset]]=0,"","-"))</f>
        <v>-</v>
      </c>
      <c r="C100">
        <v>-4</v>
      </c>
      <c r="D100" s="35">
        <f>Table18[[#This Row],[gmtOffset]]/24</f>
        <v>-0.16666666666666666</v>
      </c>
      <c r="E100">
        <f>COUNTIFS(Table18[iataAirportCode],"="&amp;Table18[[#This Row],[iataAirportCode]])</f>
        <v>1</v>
      </c>
      <c r="F100" t="b">
        <f>ISBLANK(Table18[[#This Row],[gmtOffset]])</f>
        <v>0</v>
      </c>
      <c r="G100" t="str">
        <f>IF(AND(Table18[[#This Row],[isblank]]=TRUE,Table18[[#This Row],[count]]&gt;1),"delete","")</f>
        <v/>
      </c>
      <c r="H100" s="2"/>
      <c r="I100" s="2">
        <f>IF(ISBLANK(Table18[[#This Row],[gmtOffset]]),Table18[[#This Row],[utcOffsetLookup]],Table18[[#This Row],[gmtOffset]])</f>
        <v>-4</v>
      </c>
      <c r="J100" s="2"/>
    </row>
    <row r="101" spans="1:10" x14ac:dyDescent="0.3">
      <c r="A101" t="s">
        <v>3510</v>
      </c>
      <c r="B101" s="34" t="str">
        <f>IF(Table18[[#This Row],[gmtOffset]]&gt;0,"+",IF(Table18[[#This Row],[gmtOffset]]=0,"","-"))</f>
        <v>-</v>
      </c>
      <c r="C101">
        <v>-4</v>
      </c>
      <c r="D101" s="35">
        <f>Table18[[#This Row],[gmtOffset]]/24</f>
        <v>-0.16666666666666666</v>
      </c>
      <c r="E101">
        <f>COUNTIFS(Table18[iataAirportCode],"="&amp;Table18[[#This Row],[iataAirportCode]])</f>
        <v>1</v>
      </c>
      <c r="F101" t="b">
        <f>ISBLANK(Table18[[#This Row],[gmtOffset]])</f>
        <v>0</v>
      </c>
      <c r="G101" t="str">
        <f>IF(AND(Table18[[#This Row],[isblank]]=TRUE,Table18[[#This Row],[count]]&gt;1),"delete","")</f>
        <v/>
      </c>
      <c r="H101" s="2"/>
      <c r="I101" s="2">
        <f>IF(ISBLANK(Table18[[#This Row],[gmtOffset]]),Table18[[#This Row],[utcOffsetLookup]],Table18[[#This Row],[gmtOffset]])</f>
        <v>-4</v>
      </c>
      <c r="J101" s="2"/>
    </row>
    <row r="102" spans="1:10" x14ac:dyDescent="0.3">
      <c r="A102" t="s">
        <v>3509</v>
      </c>
      <c r="B102" s="34" t="str">
        <f>IF(Table18[[#This Row],[gmtOffset]]&gt;0,"+",IF(Table18[[#This Row],[gmtOffset]]=0,"","-"))</f>
        <v>-</v>
      </c>
      <c r="C102">
        <v>-4</v>
      </c>
      <c r="D102" s="35">
        <f>Table18[[#This Row],[gmtOffset]]/24</f>
        <v>-0.16666666666666666</v>
      </c>
      <c r="E102">
        <f>COUNTIFS(Table18[iataAirportCode],"="&amp;Table18[[#This Row],[iataAirportCode]])</f>
        <v>1</v>
      </c>
      <c r="F102" t="b">
        <f>ISBLANK(Table18[[#This Row],[gmtOffset]])</f>
        <v>0</v>
      </c>
      <c r="G102" t="str">
        <f>IF(AND(Table18[[#This Row],[isblank]]=TRUE,Table18[[#This Row],[count]]&gt;1),"delete","")</f>
        <v/>
      </c>
      <c r="H102" s="2"/>
      <c r="I102" s="2">
        <f>IF(ISBLANK(Table18[[#This Row],[gmtOffset]]),Table18[[#This Row],[utcOffsetLookup]],Table18[[#This Row],[gmtOffset]])</f>
        <v>-4</v>
      </c>
      <c r="J102" s="2"/>
    </row>
    <row r="103" spans="1:10" x14ac:dyDescent="0.3">
      <c r="A103" t="s">
        <v>1634</v>
      </c>
      <c r="B103" s="34" t="str">
        <f>IF(Table18[[#This Row],[gmtOffset]]&gt;0,"+",IF(Table18[[#This Row],[gmtOffset]]=0,"","-"))</f>
        <v>-</v>
      </c>
      <c r="C103">
        <v>-5</v>
      </c>
      <c r="D103" s="35">
        <f>Table18[[#This Row],[gmtOffset]]/24</f>
        <v>-0.20833333333333334</v>
      </c>
      <c r="E103">
        <f>COUNTIFS(Table18[iataAirportCode],"="&amp;Table18[[#This Row],[iataAirportCode]])</f>
        <v>1</v>
      </c>
      <c r="F103" t="b">
        <f>ISBLANK(Table18[[#This Row],[gmtOffset]])</f>
        <v>0</v>
      </c>
      <c r="G103" t="str">
        <f>IF(AND(Table18[[#This Row],[isblank]]=TRUE,Table18[[#This Row],[count]]&gt;1),"delete","")</f>
        <v/>
      </c>
      <c r="H103" s="2"/>
      <c r="I103" s="2">
        <f>IF(ISBLANK(Table18[[#This Row],[gmtOffset]]),Table18[[#This Row],[utcOffsetLookup]],Table18[[#This Row],[gmtOffset]])</f>
        <v>-5</v>
      </c>
      <c r="J103" s="2"/>
    </row>
    <row r="104" spans="1:10" x14ac:dyDescent="0.3">
      <c r="A104" t="s">
        <v>1539</v>
      </c>
      <c r="B104" s="34" t="str">
        <f>IF(Table18[[#This Row],[gmtOffset]]&gt;0,"+",IF(Table18[[#This Row],[gmtOffset]]=0,"","-"))</f>
        <v>-</v>
      </c>
      <c r="C104">
        <v>-6</v>
      </c>
      <c r="D104" s="35">
        <f>Table18[[#This Row],[gmtOffset]]/24</f>
        <v>-0.25</v>
      </c>
      <c r="E104">
        <f>COUNTIFS(Table18[iataAirportCode],"="&amp;Table18[[#This Row],[iataAirportCode]])</f>
        <v>1</v>
      </c>
      <c r="F104" t="b">
        <f>ISBLANK(Table18[[#This Row],[gmtOffset]])</f>
        <v>0</v>
      </c>
      <c r="G104" t="str">
        <f>IF(AND(Table18[[#This Row],[isblank]]=TRUE,Table18[[#This Row],[count]]&gt;1),"delete","")</f>
        <v/>
      </c>
      <c r="H104" s="2"/>
      <c r="I104" s="2">
        <f>IF(ISBLANK(Table18[[#This Row],[gmtOffset]]),Table18[[#This Row],[utcOffsetLookup]],Table18[[#This Row],[gmtOffset]])</f>
        <v>-6</v>
      </c>
      <c r="J104" s="2"/>
    </row>
    <row r="105" spans="1:10" x14ac:dyDescent="0.3">
      <c r="A105" t="s">
        <v>2469</v>
      </c>
      <c r="B105" s="34" t="str">
        <f>IF(Table18[[#This Row],[gmtOffset]]&gt;0,"+",IF(Table18[[#This Row],[gmtOffset]]=0,"","-"))</f>
        <v>+</v>
      </c>
      <c r="C105">
        <v>8</v>
      </c>
      <c r="D105" s="35">
        <f>Table18[[#This Row],[gmtOffset]]/24</f>
        <v>0.33333333333333331</v>
      </c>
      <c r="E105">
        <f>COUNTIFS(Table18[iataAirportCode],"="&amp;Table18[[#This Row],[iataAirportCode]])</f>
        <v>1</v>
      </c>
      <c r="F105" t="b">
        <f>ISBLANK(Table18[[#This Row],[gmtOffset]])</f>
        <v>0</v>
      </c>
      <c r="G105" t="str">
        <f>IF(AND(Table18[[#This Row],[isblank]]=TRUE,Table18[[#This Row],[count]]&gt;1),"delete","")</f>
        <v/>
      </c>
      <c r="H105" s="2"/>
      <c r="I105" s="2">
        <f>IF(ISBLANK(Table18[[#This Row],[gmtOffset]]),Table18[[#This Row],[utcOffsetLookup]],Table18[[#This Row],[gmtOffset]])</f>
        <v>8</v>
      </c>
      <c r="J105" s="2"/>
    </row>
    <row r="106" spans="1:10" x14ac:dyDescent="0.3">
      <c r="A106" t="s">
        <v>2511</v>
      </c>
      <c r="B106" s="34" t="str">
        <f>IF(Table18[[#This Row],[gmtOffset]]&gt;0,"+",IF(Table18[[#This Row],[gmtOffset]]=0,"","-"))</f>
        <v>+</v>
      </c>
      <c r="C106">
        <v>5.5</v>
      </c>
      <c r="D106" s="35">
        <f>Table18[[#This Row],[gmtOffset]]/24</f>
        <v>0.22916666666666666</v>
      </c>
      <c r="E106">
        <f>COUNTIFS(Table18[iataAirportCode],"="&amp;Table18[[#This Row],[iataAirportCode]])</f>
        <v>1</v>
      </c>
      <c r="F106" t="b">
        <f>ISBLANK(Table18[[#This Row],[gmtOffset]])</f>
        <v>0</v>
      </c>
      <c r="G106" t="str">
        <f>IF(AND(Table18[[#This Row],[isblank]]=TRUE,Table18[[#This Row],[count]]&gt;1),"delete","")</f>
        <v/>
      </c>
      <c r="H106" s="2"/>
      <c r="I106" s="2">
        <f>IF(ISBLANK(Table18[[#This Row],[gmtOffset]]),Table18[[#This Row],[utcOffsetLookup]],Table18[[#This Row],[gmtOffset]])</f>
        <v>5.5</v>
      </c>
      <c r="J106" s="2"/>
    </row>
    <row r="107" spans="1:10" x14ac:dyDescent="0.3">
      <c r="A107" t="s">
        <v>2477</v>
      </c>
      <c r="B107" s="34" t="str">
        <f>IF(Table18[[#This Row],[gmtOffset]]&gt;0,"+",IF(Table18[[#This Row],[gmtOffset]]=0,"","-"))</f>
        <v>+</v>
      </c>
      <c r="C107">
        <v>5.5</v>
      </c>
      <c r="D107" s="35">
        <f>Table18[[#This Row],[gmtOffset]]/24</f>
        <v>0.22916666666666666</v>
      </c>
      <c r="E107">
        <f>COUNTIFS(Table18[iataAirportCode],"="&amp;Table18[[#This Row],[iataAirportCode]])</f>
        <v>1</v>
      </c>
      <c r="F107" t="b">
        <f>ISBLANK(Table18[[#This Row],[gmtOffset]])</f>
        <v>0</v>
      </c>
      <c r="G107" t="str">
        <f>IF(AND(Table18[[#This Row],[isblank]]=TRUE,Table18[[#This Row],[count]]&gt;1),"delete","")</f>
        <v/>
      </c>
      <c r="H107" s="2"/>
      <c r="I107" s="2">
        <f>IF(ISBLANK(Table18[[#This Row],[gmtOffset]]),Table18[[#This Row],[utcOffsetLookup]],Table18[[#This Row],[gmtOffset]])</f>
        <v>5.5</v>
      </c>
      <c r="J107" s="2"/>
    </row>
    <row r="108" spans="1:10" x14ac:dyDescent="0.3">
      <c r="A108" t="s">
        <v>218</v>
      </c>
      <c r="B108" s="34" t="str">
        <f>IF(Table18[[#This Row],[gmtOffset]]&gt;0,"+",IF(Table18[[#This Row],[gmtOffset]]=0,"","-"))</f>
        <v>+</v>
      </c>
      <c r="C108">
        <v>5.5</v>
      </c>
      <c r="D108" s="35">
        <f>Table18[[#This Row],[gmtOffset]]/24</f>
        <v>0.22916666666666666</v>
      </c>
      <c r="E108">
        <f>COUNTIFS(Table18[iataAirportCode],"="&amp;Table18[[#This Row],[iataAirportCode]])</f>
        <v>1</v>
      </c>
      <c r="F108" t="b">
        <f>ISBLANK(Table18[[#This Row],[gmtOffset]])</f>
        <v>0</v>
      </c>
      <c r="G108" t="str">
        <f>IF(AND(Table18[[#This Row],[isblank]]=TRUE,Table18[[#This Row],[count]]&gt;1),"delete","")</f>
        <v/>
      </c>
      <c r="H108" s="2"/>
      <c r="I108" s="2">
        <f>IF(ISBLANK(Table18[[#This Row],[gmtOffset]]),Table18[[#This Row],[utcOffsetLookup]],Table18[[#This Row],[gmtOffset]])</f>
        <v>5.5</v>
      </c>
      <c r="J108" s="2"/>
    </row>
    <row r="109" spans="1:10" x14ac:dyDescent="0.3">
      <c r="A109" t="s">
        <v>740</v>
      </c>
      <c r="B109" s="34" t="str">
        <f>IF(Table18[[#This Row],[gmtOffset]]&gt;0,"+",IF(Table18[[#This Row],[gmtOffset]]=0,"","-"))</f>
        <v/>
      </c>
      <c r="C109">
        <v>0</v>
      </c>
      <c r="D109" s="35">
        <f>Table18[[#This Row],[gmtOffset]]/24</f>
        <v>0</v>
      </c>
      <c r="E109">
        <f>COUNTIFS(Table18[iataAirportCode],"="&amp;Table18[[#This Row],[iataAirportCode]])</f>
        <v>1</v>
      </c>
      <c r="F109" t="b">
        <f>ISBLANK(Table18[[#This Row],[gmtOffset]])</f>
        <v>0</v>
      </c>
      <c r="G109" t="str">
        <f>IF(AND(Table18[[#This Row],[isblank]]=TRUE,Table18[[#This Row],[count]]&gt;1),"delete","")</f>
        <v/>
      </c>
      <c r="H109" s="2"/>
      <c r="I109" s="2">
        <f>IF(ISBLANK(Table18[[#This Row],[gmtOffset]]),Table18[[#This Row],[utcOffsetLookup]],Table18[[#This Row],[gmtOffset]])</f>
        <v>0</v>
      </c>
      <c r="J109" s="2"/>
    </row>
    <row r="110" spans="1:10" x14ac:dyDescent="0.3">
      <c r="A110" t="s">
        <v>1419</v>
      </c>
      <c r="B110" s="34" t="str">
        <f>IF(Table18[[#This Row],[gmtOffset]]&gt;0,"+",IF(Table18[[#This Row],[gmtOffset]]=0,"","-"))</f>
        <v>+</v>
      </c>
      <c r="C110">
        <v>2</v>
      </c>
      <c r="D110" s="35">
        <f>Table18[[#This Row],[gmtOffset]]/24</f>
        <v>8.3333333333333329E-2</v>
      </c>
      <c r="E110">
        <f>COUNTIFS(Table18[iataAirportCode],"="&amp;Table18[[#This Row],[iataAirportCode]])</f>
        <v>1</v>
      </c>
      <c r="F110" t="b">
        <f>ISBLANK(Table18[[#This Row],[gmtOffset]])</f>
        <v>0</v>
      </c>
      <c r="G110" t="str">
        <f>IF(AND(Table18[[#This Row],[isblank]]=TRUE,Table18[[#This Row],[count]]&gt;1),"delete","")</f>
        <v/>
      </c>
      <c r="H110" s="2"/>
      <c r="I110" s="2">
        <f>IF(ISBLANK(Table18[[#This Row],[gmtOffset]]),Table18[[#This Row],[utcOffsetLookup]],Table18[[#This Row],[gmtOffset]])</f>
        <v>2</v>
      </c>
      <c r="J110" s="2"/>
    </row>
    <row r="111" spans="1:10" x14ac:dyDescent="0.3">
      <c r="A111" t="s">
        <v>1377</v>
      </c>
      <c r="B111" s="34" t="str">
        <f>IF(Table18[[#This Row],[gmtOffset]]&gt;0,"+",IF(Table18[[#This Row],[gmtOffset]]=0,"","-"))</f>
        <v>+</v>
      </c>
      <c r="C111">
        <v>1</v>
      </c>
      <c r="D111" s="35">
        <f>Table18[[#This Row],[gmtOffset]]/24</f>
        <v>4.1666666666666664E-2</v>
      </c>
      <c r="E111">
        <f>COUNTIFS(Table18[iataAirportCode],"="&amp;Table18[[#This Row],[iataAirportCode]])</f>
        <v>1</v>
      </c>
      <c r="F111" t="b">
        <f>ISBLANK(Table18[[#This Row],[gmtOffset]])</f>
        <v>0</v>
      </c>
      <c r="G111" t="str">
        <f>IF(AND(Table18[[#This Row],[isblank]]=TRUE,Table18[[#This Row],[count]]&gt;1),"delete","")</f>
        <v/>
      </c>
      <c r="H111" s="2"/>
      <c r="I111" s="2">
        <f>IF(ISBLANK(Table18[[#This Row],[gmtOffset]]),Table18[[#This Row],[utcOffsetLookup]],Table18[[#This Row],[gmtOffset]])</f>
        <v>1</v>
      </c>
      <c r="J111" s="2"/>
    </row>
    <row r="112" spans="1:10" x14ac:dyDescent="0.3">
      <c r="A112" t="s">
        <v>99</v>
      </c>
      <c r="B112" s="34" t="str">
        <f>IF(Table18[[#This Row],[gmtOffset]]&gt;0,"+",IF(Table18[[#This Row],[gmtOffset]]=0,"","-"))</f>
        <v>-</v>
      </c>
      <c r="C112">
        <v>-5</v>
      </c>
      <c r="D112" s="35">
        <f>Table18[[#This Row],[gmtOffset]]/24</f>
        <v>-0.20833333333333334</v>
      </c>
      <c r="E112">
        <f>COUNTIFS(Table18[iataAirportCode],"="&amp;Table18[[#This Row],[iataAirportCode]])</f>
        <v>1</v>
      </c>
      <c r="F112" t="b">
        <f>ISBLANK(Table18[[#This Row],[gmtOffset]])</f>
        <v>0</v>
      </c>
      <c r="G112" t="str">
        <f>IF(AND(Table18[[#This Row],[isblank]]=TRUE,Table18[[#This Row],[count]]&gt;1),"delete","")</f>
        <v/>
      </c>
      <c r="H112" s="2"/>
      <c r="I112" s="2">
        <f>IF(ISBLANK(Table18[[#This Row],[gmtOffset]]),Table18[[#This Row],[utcOffsetLookup]],Table18[[#This Row],[gmtOffset]])</f>
        <v>-5</v>
      </c>
      <c r="J112" s="2"/>
    </row>
    <row r="113" spans="1:10" x14ac:dyDescent="0.3">
      <c r="A113" t="s">
        <v>3186</v>
      </c>
      <c r="B113" s="34" t="str">
        <f>IF(Table18[[#This Row],[gmtOffset]]&gt;0,"+",IF(Table18[[#This Row],[gmtOffset]]=0,"","-"))</f>
        <v>+</v>
      </c>
      <c r="C113">
        <v>9</v>
      </c>
      <c r="D113" s="35">
        <f>Table18[[#This Row],[gmtOffset]]/24</f>
        <v>0.375</v>
      </c>
      <c r="E113">
        <f>COUNTIFS(Table18[iataAirportCode],"="&amp;Table18[[#This Row],[iataAirportCode]])</f>
        <v>1</v>
      </c>
      <c r="F113" t="b">
        <f>ISBLANK(Table18[[#This Row],[gmtOffset]])</f>
        <v>0</v>
      </c>
      <c r="G113" t="str">
        <f>IF(AND(Table18[[#This Row],[isblank]]=TRUE,Table18[[#This Row],[count]]&gt;1),"delete","")</f>
        <v/>
      </c>
      <c r="H113" s="2"/>
      <c r="I113" s="2">
        <f>IF(ISBLANK(Table18[[#This Row],[gmtOffset]]),Table18[[#This Row],[utcOffsetLookup]],Table18[[#This Row],[gmtOffset]])</f>
        <v>9</v>
      </c>
      <c r="J113" s="2"/>
    </row>
    <row r="114" spans="1:10" x14ac:dyDescent="0.3">
      <c r="A114" t="s">
        <v>3227</v>
      </c>
      <c r="B114" s="34" t="str">
        <f>IF(Table18[[#This Row],[gmtOffset]]&gt;0,"+",IF(Table18[[#This Row],[gmtOffset]]=0,"","-"))</f>
        <v>+</v>
      </c>
      <c r="C114">
        <v>9</v>
      </c>
      <c r="D114" s="35">
        <f>Table18[[#This Row],[gmtOffset]]/24</f>
        <v>0.375</v>
      </c>
      <c r="E114">
        <f>COUNTIFS(Table18[iataAirportCode],"="&amp;Table18[[#This Row],[iataAirportCode]])</f>
        <v>1</v>
      </c>
      <c r="F114" t="b">
        <f>ISBLANK(Table18[[#This Row],[gmtOffset]])</f>
        <v>0</v>
      </c>
      <c r="G114" t="str">
        <f>IF(AND(Table18[[#This Row],[isblank]]=TRUE,Table18[[#This Row],[count]]&gt;1),"delete","")</f>
        <v/>
      </c>
      <c r="H114" s="2"/>
      <c r="I114" s="2">
        <f>IF(ISBLANK(Table18[[#This Row],[gmtOffset]]),Table18[[#This Row],[utcOffsetLookup]],Table18[[#This Row],[gmtOffset]])</f>
        <v>9</v>
      </c>
      <c r="J114" s="2"/>
    </row>
    <row r="115" spans="1:10" x14ac:dyDescent="0.3">
      <c r="A115" t="s">
        <v>1538</v>
      </c>
      <c r="B115" s="34" t="str">
        <f>IF(Table18[[#This Row],[gmtOffset]]&gt;0,"+",IF(Table18[[#This Row],[gmtOffset]]=0,"","-"))</f>
        <v>+</v>
      </c>
      <c r="C115">
        <v>9</v>
      </c>
      <c r="D115" s="35">
        <f>Table18[[#This Row],[gmtOffset]]/24</f>
        <v>0.375</v>
      </c>
      <c r="E115">
        <f>COUNTIFS(Table18[iataAirportCode],"="&amp;Table18[[#This Row],[iataAirportCode]])</f>
        <v>1</v>
      </c>
      <c r="F115" t="b">
        <f>ISBLANK(Table18[[#This Row],[gmtOffset]])</f>
        <v>0</v>
      </c>
      <c r="G115" t="str">
        <f>IF(AND(Table18[[#This Row],[isblank]]=TRUE,Table18[[#This Row],[count]]&gt;1),"delete","")</f>
        <v/>
      </c>
      <c r="H115" s="2"/>
      <c r="I115" s="2">
        <f>IF(ISBLANK(Table18[[#This Row],[gmtOffset]]),Table18[[#This Row],[utcOffsetLookup]],Table18[[#This Row],[gmtOffset]])</f>
        <v>9</v>
      </c>
      <c r="J115" s="2"/>
    </row>
    <row r="116" spans="1:10" x14ac:dyDescent="0.3">
      <c r="A116" t="s">
        <v>1565</v>
      </c>
      <c r="B116" s="34" t="str">
        <f>IF(Table18[[#This Row],[gmtOffset]]&gt;0,"+",IF(Table18[[#This Row],[gmtOffset]]=0,"","-"))</f>
        <v>-</v>
      </c>
      <c r="C116">
        <v>-6</v>
      </c>
      <c r="D116" s="35">
        <f>Table18[[#This Row],[gmtOffset]]/24</f>
        <v>-0.25</v>
      </c>
      <c r="E116">
        <f>COUNTIFS(Table18[iataAirportCode],"="&amp;Table18[[#This Row],[iataAirportCode]])</f>
        <v>1</v>
      </c>
      <c r="F116" t="b">
        <f>ISBLANK(Table18[[#This Row],[gmtOffset]])</f>
        <v>0</v>
      </c>
      <c r="G116" t="str">
        <f>IF(AND(Table18[[#This Row],[isblank]]=TRUE,Table18[[#This Row],[count]]&gt;1),"delete","")</f>
        <v/>
      </c>
      <c r="H116" s="2"/>
      <c r="I116" s="2">
        <f>IF(ISBLANK(Table18[[#This Row],[gmtOffset]]),Table18[[#This Row],[utcOffsetLookup]],Table18[[#This Row],[gmtOffset]])</f>
        <v>-6</v>
      </c>
      <c r="J116" s="2"/>
    </row>
    <row r="117" spans="1:10" x14ac:dyDescent="0.3">
      <c r="A117" t="s">
        <v>1574</v>
      </c>
      <c r="B117" s="34" t="str">
        <f>IF(Table18[[#This Row],[gmtOffset]]&gt;0,"+",IF(Table18[[#This Row],[gmtOffset]]=0,"","-"))</f>
        <v>-</v>
      </c>
      <c r="C117">
        <v>-6</v>
      </c>
      <c r="D117" s="35">
        <f>Table18[[#This Row],[gmtOffset]]/24</f>
        <v>-0.25</v>
      </c>
      <c r="E117">
        <f>COUNTIFS(Table18[iataAirportCode],"="&amp;Table18[[#This Row],[iataAirportCode]])</f>
        <v>1</v>
      </c>
      <c r="F117" t="b">
        <f>ISBLANK(Table18[[#This Row],[gmtOffset]])</f>
        <v>0</v>
      </c>
      <c r="G117" t="str">
        <f>IF(AND(Table18[[#This Row],[isblank]]=TRUE,Table18[[#This Row],[count]]&gt;1),"delete","")</f>
        <v/>
      </c>
      <c r="H117" s="2"/>
      <c r="I117" s="2">
        <f>IF(ISBLANK(Table18[[#This Row],[gmtOffset]]),Table18[[#This Row],[utcOffsetLookup]],Table18[[#This Row],[gmtOffset]])</f>
        <v>-6</v>
      </c>
      <c r="J117" s="2"/>
    </row>
    <row r="118" spans="1:10" x14ac:dyDescent="0.3">
      <c r="A118" t="s">
        <v>1583</v>
      </c>
      <c r="B118" s="34" t="str">
        <f>IF(Table18[[#This Row],[gmtOffset]]&gt;0,"+",IF(Table18[[#This Row],[gmtOffset]]=0,"","-"))</f>
        <v>-</v>
      </c>
      <c r="C118">
        <v>-6</v>
      </c>
      <c r="D118" s="35">
        <f>Table18[[#This Row],[gmtOffset]]/24</f>
        <v>-0.25</v>
      </c>
      <c r="E118">
        <f>COUNTIFS(Table18[iataAirportCode],"="&amp;Table18[[#This Row],[iataAirportCode]])</f>
        <v>1</v>
      </c>
      <c r="F118" t="b">
        <f>ISBLANK(Table18[[#This Row],[gmtOffset]])</f>
        <v>0</v>
      </c>
      <c r="G118" t="str">
        <f>IF(AND(Table18[[#This Row],[isblank]]=TRUE,Table18[[#This Row],[count]]&gt;1),"delete","")</f>
        <v/>
      </c>
      <c r="H118" s="2"/>
      <c r="I118" s="2">
        <f>IF(ISBLANK(Table18[[#This Row],[gmtOffset]]),Table18[[#This Row],[utcOffsetLookup]],Table18[[#This Row],[gmtOffset]])</f>
        <v>-6</v>
      </c>
      <c r="J118" s="2"/>
    </row>
    <row r="119" spans="1:10" x14ac:dyDescent="0.3">
      <c r="A119" t="s">
        <v>1593</v>
      </c>
      <c r="B119" s="34" t="str">
        <f>IF(Table18[[#This Row],[gmtOffset]]&gt;0,"+",IF(Table18[[#This Row],[gmtOffset]]=0,"","-"))</f>
        <v>-</v>
      </c>
      <c r="C119">
        <v>-6</v>
      </c>
      <c r="D119" s="35">
        <f>Table18[[#This Row],[gmtOffset]]/24</f>
        <v>-0.25</v>
      </c>
      <c r="E119">
        <f>COUNTIFS(Table18[iataAirportCode],"="&amp;Table18[[#This Row],[iataAirportCode]])</f>
        <v>1</v>
      </c>
      <c r="F119" t="b">
        <f>ISBLANK(Table18[[#This Row],[gmtOffset]])</f>
        <v>0</v>
      </c>
      <c r="G119" t="str">
        <f>IF(AND(Table18[[#This Row],[isblank]]=TRUE,Table18[[#This Row],[count]]&gt;1),"delete","")</f>
        <v/>
      </c>
      <c r="H119" s="2"/>
      <c r="I119" s="2">
        <f>IF(ISBLANK(Table18[[#This Row],[gmtOffset]]),Table18[[#This Row],[utcOffsetLookup]],Table18[[#This Row],[gmtOffset]])</f>
        <v>-6</v>
      </c>
      <c r="J119" s="2"/>
    </row>
    <row r="120" spans="1:10" x14ac:dyDescent="0.3">
      <c r="A120" t="s">
        <v>1597</v>
      </c>
      <c r="B120" s="34" t="str">
        <f>IF(Table18[[#This Row],[gmtOffset]]&gt;0,"+",IF(Table18[[#This Row],[gmtOffset]]=0,"","-"))</f>
        <v>-</v>
      </c>
      <c r="C120">
        <v>-7</v>
      </c>
      <c r="D120" s="35">
        <f>Table18[[#This Row],[gmtOffset]]/24</f>
        <v>-0.29166666666666669</v>
      </c>
      <c r="E120">
        <f>COUNTIFS(Table18[iataAirportCode],"="&amp;Table18[[#This Row],[iataAirportCode]])</f>
        <v>1</v>
      </c>
      <c r="F120" t="b">
        <f>ISBLANK(Table18[[#This Row],[gmtOffset]])</f>
        <v>0</v>
      </c>
      <c r="G120" t="str">
        <f>IF(AND(Table18[[#This Row],[isblank]]=TRUE,Table18[[#This Row],[count]]&gt;1),"delete","")</f>
        <v/>
      </c>
      <c r="H120" s="2"/>
      <c r="I120" s="2">
        <f>IF(ISBLANK(Table18[[#This Row],[gmtOffset]]),Table18[[#This Row],[utcOffsetLookup]],Table18[[#This Row],[gmtOffset]])</f>
        <v>-7</v>
      </c>
      <c r="J120" s="2"/>
    </row>
    <row r="121" spans="1:10" x14ac:dyDescent="0.3">
      <c r="A121" t="s">
        <v>1727</v>
      </c>
      <c r="B121" s="34" t="str">
        <f>IF(Table18[[#This Row],[gmtOffset]]&gt;0,"+",IF(Table18[[#This Row],[gmtOffset]]=0,"","-"))</f>
        <v>+</v>
      </c>
      <c r="C121">
        <v>12</v>
      </c>
      <c r="D121" s="35">
        <f>Table18[[#This Row],[gmtOffset]]/24</f>
        <v>0.5</v>
      </c>
      <c r="E121">
        <f>COUNTIFS(Table18[iataAirportCode],"="&amp;Table18[[#This Row],[iataAirportCode]])</f>
        <v>1</v>
      </c>
      <c r="F121" t="b">
        <f>ISBLANK(Table18[[#This Row],[gmtOffset]])</f>
        <v>0</v>
      </c>
      <c r="G121" t="str">
        <f>IF(AND(Table18[[#This Row],[isblank]]=TRUE,Table18[[#This Row],[count]]&gt;1),"delete","")</f>
        <v/>
      </c>
      <c r="H121" s="2"/>
      <c r="I121" s="2">
        <f>IF(ISBLANK(Table18[[#This Row],[gmtOffset]]),Table18[[#This Row],[utcOffsetLookup]],Table18[[#This Row],[gmtOffset]])</f>
        <v>12</v>
      </c>
      <c r="J121" s="2"/>
    </row>
    <row r="122" spans="1:10" x14ac:dyDescent="0.3">
      <c r="A122" t="s">
        <v>1615</v>
      </c>
      <c r="B122" s="34" t="str">
        <f>IF(Table18[[#This Row],[gmtOffset]]&gt;0,"+",IF(Table18[[#This Row],[gmtOffset]]=0,"","-"))</f>
        <v>-</v>
      </c>
      <c r="C122">
        <v>-6</v>
      </c>
      <c r="D122" s="35">
        <f>Table18[[#This Row],[gmtOffset]]/24</f>
        <v>-0.25</v>
      </c>
      <c r="E122">
        <f>COUNTIFS(Table18[iataAirportCode],"="&amp;Table18[[#This Row],[iataAirportCode]])</f>
        <v>1</v>
      </c>
      <c r="F122" t="b">
        <f>ISBLANK(Table18[[#This Row],[gmtOffset]])</f>
        <v>0</v>
      </c>
      <c r="G122" t="str">
        <f>IF(AND(Table18[[#This Row],[isblank]]=TRUE,Table18[[#This Row],[count]]&gt;1),"delete","")</f>
        <v/>
      </c>
      <c r="H122" s="2"/>
      <c r="I122" s="2">
        <f>IF(ISBLANK(Table18[[#This Row],[gmtOffset]]),Table18[[#This Row],[utcOffsetLookup]],Table18[[#This Row],[gmtOffset]])</f>
        <v>-6</v>
      </c>
      <c r="J122" s="2"/>
    </row>
    <row r="123" spans="1:10" x14ac:dyDescent="0.3">
      <c r="A123" t="s">
        <v>1868</v>
      </c>
      <c r="B123" s="34" t="str">
        <f>IF(Table18[[#This Row],[gmtOffset]]&gt;0,"+",IF(Table18[[#This Row],[gmtOffset]]=0,"","-"))</f>
        <v>+</v>
      </c>
      <c r="C123">
        <v>10</v>
      </c>
      <c r="D123" s="35">
        <f>Table18[[#This Row],[gmtOffset]]/24</f>
        <v>0.41666666666666669</v>
      </c>
      <c r="E123">
        <f>COUNTIFS(Table18[iataAirportCode],"="&amp;Table18[[#This Row],[iataAirportCode]])</f>
        <v>1</v>
      </c>
      <c r="F123" t="b">
        <f>ISBLANK(Table18[[#This Row],[gmtOffset]])</f>
        <v>0</v>
      </c>
      <c r="G123" t="str">
        <f>IF(AND(Table18[[#This Row],[isblank]]=TRUE,Table18[[#This Row],[count]]&gt;1),"delete","")</f>
        <v/>
      </c>
      <c r="H123" s="2"/>
      <c r="I123" s="2">
        <f>IF(ISBLANK(Table18[[#This Row],[gmtOffset]]),Table18[[#This Row],[utcOffsetLookup]],Table18[[#This Row],[gmtOffset]])</f>
        <v>10</v>
      </c>
      <c r="J123" s="2"/>
    </row>
    <row r="124" spans="1:10" x14ac:dyDescent="0.3">
      <c r="A124" t="s">
        <v>2229</v>
      </c>
      <c r="B124" s="34" t="str">
        <f>IF(Table18[[#This Row],[gmtOffset]]&gt;0,"+",IF(Table18[[#This Row],[gmtOffset]]=0,"","-"))</f>
        <v>-</v>
      </c>
      <c r="C124">
        <v>-5</v>
      </c>
      <c r="D124" s="35">
        <f>Table18[[#This Row],[gmtOffset]]/24</f>
        <v>-0.20833333333333334</v>
      </c>
      <c r="E124">
        <f>COUNTIFS(Table18[iataAirportCode],"="&amp;Table18[[#This Row],[iataAirportCode]])</f>
        <v>1</v>
      </c>
      <c r="F124" t="b">
        <f>ISBLANK(Table18[[#This Row],[gmtOffset]])</f>
        <v>0</v>
      </c>
      <c r="G124" t="str">
        <f>IF(AND(Table18[[#This Row],[isblank]]=TRUE,Table18[[#This Row],[count]]&gt;1),"delete","")</f>
        <v/>
      </c>
      <c r="H124" s="2"/>
      <c r="I124" s="2">
        <f>IF(ISBLANK(Table18[[#This Row],[gmtOffset]]),Table18[[#This Row],[utcOffsetLookup]],Table18[[#This Row],[gmtOffset]])</f>
        <v>-5</v>
      </c>
      <c r="J124" s="2"/>
    </row>
    <row r="125" spans="1:10" x14ac:dyDescent="0.3">
      <c r="A125" t="s">
        <v>1976</v>
      </c>
      <c r="B125" s="34" t="str">
        <f>IF(Table18[[#This Row],[gmtOffset]]&gt;0,"+",IF(Table18[[#This Row],[gmtOffset]]=0,"","-"))</f>
        <v>+</v>
      </c>
      <c r="C125">
        <v>8</v>
      </c>
      <c r="D125" s="35">
        <f>Table18[[#This Row],[gmtOffset]]/24</f>
        <v>0.33333333333333331</v>
      </c>
      <c r="E125">
        <f>COUNTIFS(Table18[iataAirportCode],"="&amp;Table18[[#This Row],[iataAirportCode]])</f>
        <v>1</v>
      </c>
      <c r="F125" t="b">
        <f>ISBLANK(Table18[[#This Row],[gmtOffset]])</f>
        <v>0</v>
      </c>
      <c r="G125" t="str">
        <f>IF(AND(Table18[[#This Row],[isblank]]=TRUE,Table18[[#This Row],[count]]&gt;1),"delete","")</f>
        <v/>
      </c>
      <c r="H125" s="2"/>
      <c r="I125" s="2">
        <f>IF(ISBLANK(Table18[[#This Row],[gmtOffset]]),Table18[[#This Row],[utcOffsetLookup]],Table18[[#This Row],[gmtOffset]])</f>
        <v>8</v>
      </c>
      <c r="J125" s="2"/>
    </row>
    <row r="126" spans="1:10" x14ac:dyDescent="0.3">
      <c r="A126" t="s">
        <v>798</v>
      </c>
      <c r="B126" s="34" t="str">
        <f>IF(Table18[[#This Row],[gmtOffset]]&gt;0,"+",IF(Table18[[#This Row],[gmtOffset]]=0,"","-"))</f>
        <v>+</v>
      </c>
      <c r="C126">
        <v>1</v>
      </c>
      <c r="D126" s="35">
        <f>Table18[[#This Row],[gmtOffset]]/24</f>
        <v>4.1666666666666664E-2</v>
      </c>
      <c r="E126">
        <f>COUNTIFS(Table18[iataAirportCode],"="&amp;Table18[[#This Row],[iataAirportCode]])</f>
        <v>1</v>
      </c>
      <c r="F126" t="b">
        <f>ISBLANK(Table18[[#This Row],[gmtOffset]])</f>
        <v>0</v>
      </c>
      <c r="G126" t="str">
        <f>IF(AND(Table18[[#This Row],[isblank]]=TRUE,Table18[[#This Row],[count]]&gt;1),"delete","")</f>
        <v/>
      </c>
      <c r="H126" s="2"/>
      <c r="I126" s="2">
        <f>IF(ISBLANK(Table18[[#This Row],[gmtOffset]]),Table18[[#This Row],[utcOffsetLookup]],Table18[[#This Row],[gmtOffset]])</f>
        <v>1</v>
      </c>
      <c r="J126" s="2"/>
    </row>
    <row r="127" spans="1:10" x14ac:dyDescent="0.3">
      <c r="A127" t="s">
        <v>1442</v>
      </c>
      <c r="B127" s="34" t="str">
        <f>IF(Table18[[#This Row],[gmtOffset]]&gt;0,"+",IF(Table18[[#This Row],[gmtOffset]]=0,"","-"))</f>
        <v/>
      </c>
      <c r="C127">
        <v>0</v>
      </c>
      <c r="D127" s="35">
        <f>Table18[[#This Row],[gmtOffset]]/24</f>
        <v>0</v>
      </c>
      <c r="E127">
        <f>COUNTIFS(Table18[iataAirportCode],"="&amp;Table18[[#This Row],[iataAirportCode]])</f>
        <v>1</v>
      </c>
      <c r="F127" t="b">
        <f>ISBLANK(Table18[[#This Row],[gmtOffset]])</f>
        <v>0</v>
      </c>
      <c r="G127" t="str">
        <f>IF(AND(Table18[[#This Row],[isblank]]=TRUE,Table18[[#This Row],[count]]&gt;1),"delete","")</f>
        <v/>
      </c>
      <c r="H127" s="2"/>
      <c r="I127" s="2">
        <f>IF(ISBLANK(Table18[[#This Row],[gmtOffset]]),Table18[[#This Row],[utcOffsetLookup]],Table18[[#This Row],[gmtOffset]])</f>
        <v>0</v>
      </c>
      <c r="J127" s="2"/>
    </row>
    <row r="128" spans="1:10" x14ac:dyDescent="0.3">
      <c r="A128" t="s">
        <v>2301</v>
      </c>
      <c r="B128" s="34" t="str">
        <f>IF(Table18[[#This Row],[gmtOffset]]&gt;0,"+",IF(Table18[[#This Row],[gmtOffset]]=0,"","-"))</f>
        <v>-</v>
      </c>
      <c r="C128">
        <v>-4</v>
      </c>
      <c r="D128" s="35">
        <f>Table18[[#This Row],[gmtOffset]]/24</f>
        <v>-0.16666666666666666</v>
      </c>
      <c r="E128">
        <f>COUNTIFS(Table18[iataAirportCode],"="&amp;Table18[[#This Row],[iataAirportCode]])</f>
        <v>1</v>
      </c>
      <c r="F128" t="b">
        <f>ISBLANK(Table18[[#This Row],[gmtOffset]])</f>
        <v>0</v>
      </c>
      <c r="G128" t="str">
        <f>IF(AND(Table18[[#This Row],[isblank]]=TRUE,Table18[[#This Row],[count]]&gt;1),"delete","")</f>
        <v/>
      </c>
      <c r="H128" s="2"/>
      <c r="I128" s="2">
        <f>IF(ISBLANK(Table18[[#This Row],[gmtOffset]]),Table18[[#This Row],[utcOffsetLookup]],Table18[[#This Row],[gmtOffset]])</f>
        <v>-4</v>
      </c>
      <c r="J128" s="2"/>
    </row>
    <row r="129" spans="1:10" x14ac:dyDescent="0.3">
      <c r="A129" t="s">
        <v>4225</v>
      </c>
      <c r="B129" s="34" t="str">
        <f>IF(Table18[[#This Row],[gmtOffset]]&gt;0,"+",IF(Table18[[#This Row],[gmtOffset]]=0,"","-"))</f>
        <v>-</v>
      </c>
      <c r="C129">
        <v>-4</v>
      </c>
      <c r="D129" s="35">
        <f>Table18[[#This Row],[gmtOffset]]/24</f>
        <v>-0.16666666666666666</v>
      </c>
      <c r="E129">
        <f>COUNTIFS(Table18[iataAirportCode],"="&amp;Table18[[#This Row],[iataAirportCode]])</f>
        <v>1</v>
      </c>
      <c r="F129" t="b">
        <f>ISBLANK(Table18[[#This Row],[gmtOffset]])</f>
        <v>0</v>
      </c>
      <c r="G129" t="str">
        <f>IF(AND(Table18[[#This Row],[isblank]]=TRUE,Table18[[#This Row],[count]]&gt;1),"delete","")</f>
        <v/>
      </c>
      <c r="H129" s="2"/>
      <c r="I129" s="2">
        <f>IF(ISBLANK(Table18[[#This Row],[gmtOffset]]),Table18[[#This Row],[utcOffsetLookup]],Table18[[#This Row],[gmtOffset]])</f>
        <v>-4</v>
      </c>
      <c r="J129" s="2"/>
    </row>
    <row r="130" spans="1:10" x14ac:dyDescent="0.3">
      <c r="A130" t="s">
        <v>2302</v>
      </c>
      <c r="B130" s="34" t="str">
        <f>IF(Table18[[#This Row],[gmtOffset]]&gt;0,"+",IF(Table18[[#This Row],[gmtOffset]]=0,"","-"))</f>
        <v>-</v>
      </c>
      <c r="C130">
        <v>-4</v>
      </c>
      <c r="D130" s="35">
        <f>Table18[[#This Row],[gmtOffset]]/24</f>
        <v>-0.16666666666666666</v>
      </c>
      <c r="E130">
        <f>COUNTIFS(Table18[iataAirportCode],"="&amp;Table18[[#This Row],[iataAirportCode]])</f>
        <v>1</v>
      </c>
      <c r="F130" t="b">
        <f>ISBLANK(Table18[[#This Row],[gmtOffset]])</f>
        <v>0</v>
      </c>
      <c r="G130" t="str">
        <f>IF(AND(Table18[[#This Row],[isblank]]=TRUE,Table18[[#This Row],[count]]&gt;1),"delete","")</f>
        <v/>
      </c>
      <c r="H130" s="2"/>
      <c r="I130" s="2">
        <f>IF(ISBLANK(Table18[[#This Row],[gmtOffset]]),Table18[[#This Row],[utcOffsetLookup]],Table18[[#This Row],[gmtOffset]])</f>
        <v>-4</v>
      </c>
      <c r="J130" s="2"/>
    </row>
    <row r="131" spans="1:10" x14ac:dyDescent="0.3">
      <c r="A131" t="s">
        <v>2305</v>
      </c>
      <c r="B131" s="34" t="str">
        <f>IF(Table18[[#This Row],[gmtOffset]]&gt;0,"+",IF(Table18[[#This Row],[gmtOffset]]=0,"","-"))</f>
        <v>-</v>
      </c>
      <c r="C131">
        <v>-4</v>
      </c>
      <c r="D131" s="35">
        <f>Table18[[#This Row],[gmtOffset]]/24</f>
        <v>-0.16666666666666666</v>
      </c>
      <c r="E131">
        <f>COUNTIFS(Table18[iataAirportCode],"="&amp;Table18[[#This Row],[iataAirportCode]])</f>
        <v>1</v>
      </c>
      <c r="F131" t="b">
        <f>ISBLANK(Table18[[#This Row],[gmtOffset]])</f>
        <v>0</v>
      </c>
      <c r="G131" t="str">
        <f>IF(AND(Table18[[#This Row],[isblank]]=TRUE,Table18[[#This Row],[count]]&gt;1),"delete","")</f>
        <v/>
      </c>
      <c r="H131" s="2"/>
      <c r="I131" s="2">
        <f>IF(ISBLANK(Table18[[#This Row],[gmtOffset]]),Table18[[#This Row],[utcOffsetLookup]],Table18[[#This Row],[gmtOffset]])</f>
        <v>-4</v>
      </c>
      <c r="J131" s="2"/>
    </row>
    <row r="132" spans="1:10" x14ac:dyDescent="0.3">
      <c r="A132" t="s">
        <v>2322</v>
      </c>
      <c r="B132" s="34" t="str">
        <f>IF(Table18[[#This Row],[gmtOffset]]&gt;0,"+",IF(Table18[[#This Row],[gmtOffset]]=0,"","-"))</f>
        <v>-</v>
      </c>
      <c r="C132">
        <v>-4</v>
      </c>
      <c r="D132" s="35">
        <f>Table18[[#This Row],[gmtOffset]]/24</f>
        <v>-0.16666666666666666</v>
      </c>
      <c r="E132">
        <f>COUNTIFS(Table18[iataAirportCode],"="&amp;Table18[[#This Row],[iataAirportCode]])</f>
        <v>1</v>
      </c>
      <c r="F132" t="b">
        <f>ISBLANK(Table18[[#This Row],[gmtOffset]])</f>
        <v>0</v>
      </c>
      <c r="G132" t="str">
        <f>IF(AND(Table18[[#This Row],[isblank]]=TRUE,Table18[[#This Row],[count]]&gt;1),"delete","")</f>
        <v/>
      </c>
      <c r="H132" s="2"/>
      <c r="I132" s="2">
        <f>IF(ISBLANK(Table18[[#This Row],[gmtOffset]]),Table18[[#This Row],[utcOffsetLookup]],Table18[[#This Row],[gmtOffset]])</f>
        <v>-4</v>
      </c>
      <c r="J132" s="2"/>
    </row>
    <row r="133" spans="1:10" x14ac:dyDescent="0.3">
      <c r="A133" t="s">
        <v>2312</v>
      </c>
      <c r="B133" s="34" t="str">
        <f>IF(Table18[[#This Row],[gmtOffset]]&gt;0,"+",IF(Table18[[#This Row],[gmtOffset]]=0,"","-"))</f>
        <v>-</v>
      </c>
      <c r="C133">
        <v>-4</v>
      </c>
      <c r="D133" s="35">
        <f>Table18[[#This Row],[gmtOffset]]/24</f>
        <v>-0.16666666666666666</v>
      </c>
      <c r="E133">
        <f>COUNTIFS(Table18[iataAirportCode],"="&amp;Table18[[#This Row],[iataAirportCode]])</f>
        <v>1</v>
      </c>
      <c r="F133" t="b">
        <f>ISBLANK(Table18[[#This Row],[gmtOffset]])</f>
        <v>0</v>
      </c>
      <c r="G133" t="str">
        <f>IF(AND(Table18[[#This Row],[isblank]]=TRUE,Table18[[#This Row],[count]]&gt;1),"delete","")</f>
        <v/>
      </c>
      <c r="H133" s="2"/>
      <c r="I133" s="2">
        <f>IF(ISBLANK(Table18[[#This Row],[gmtOffset]]),Table18[[#This Row],[utcOffsetLookup]],Table18[[#This Row],[gmtOffset]])</f>
        <v>-4</v>
      </c>
      <c r="J133" s="2"/>
    </row>
    <row r="134" spans="1:10" x14ac:dyDescent="0.3">
      <c r="A134" t="s">
        <v>1188</v>
      </c>
      <c r="B134" s="34" t="str">
        <f>IF(Table18[[#This Row],[gmtOffset]]&gt;0,"+",IF(Table18[[#This Row],[gmtOffset]]=0,"","-"))</f>
        <v>+</v>
      </c>
      <c r="C134">
        <v>1</v>
      </c>
      <c r="D134" s="35">
        <f>Table18[[#This Row],[gmtOffset]]/24</f>
        <v>4.1666666666666664E-2</v>
      </c>
      <c r="E134">
        <f>COUNTIFS(Table18[iataAirportCode],"="&amp;Table18[[#This Row],[iataAirportCode]])</f>
        <v>1</v>
      </c>
      <c r="F134" t="b">
        <f>ISBLANK(Table18[[#This Row],[gmtOffset]])</f>
        <v>0</v>
      </c>
      <c r="G134" t="str">
        <f>IF(AND(Table18[[#This Row],[isblank]]=TRUE,Table18[[#This Row],[count]]&gt;1),"delete","")</f>
        <v/>
      </c>
      <c r="H134" s="2"/>
      <c r="I134" s="2">
        <f>IF(ISBLANK(Table18[[#This Row],[gmtOffset]]),Table18[[#This Row],[utcOffsetLookup]],Table18[[#This Row],[gmtOffset]])</f>
        <v>1</v>
      </c>
      <c r="J134" s="2"/>
    </row>
    <row r="135" spans="1:10" x14ac:dyDescent="0.3">
      <c r="A135" t="s">
        <v>1197</v>
      </c>
      <c r="B135" s="34" t="str">
        <f>IF(Table18[[#This Row],[gmtOffset]]&gt;0,"+",IF(Table18[[#This Row],[gmtOffset]]=0,"","-"))</f>
        <v>+</v>
      </c>
      <c r="C135">
        <v>1</v>
      </c>
      <c r="D135" s="35">
        <f>Table18[[#This Row],[gmtOffset]]/24</f>
        <v>4.1666666666666664E-2</v>
      </c>
      <c r="E135">
        <f>COUNTIFS(Table18[iataAirportCode],"="&amp;Table18[[#This Row],[iataAirportCode]])</f>
        <v>1</v>
      </c>
      <c r="F135" t="b">
        <f>ISBLANK(Table18[[#This Row],[gmtOffset]])</f>
        <v>0</v>
      </c>
      <c r="G135" t="str">
        <f>IF(AND(Table18[[#This Row],[isblank]]=TRUE,Table18[[#This Row],[count]]&gt;1),"delete","")</f>
        <v/>
      </c>
      <c r="H135" s="2"/>
      <c r="I135" s="2">
        <f>IF(ISBLANK(Table18[[#This Row],[gmtOffset]]),Table18[[#This Row],[utcOffsetLookup]],Table18[[#This Row],[gmtOffset]])</f>
        <v>1</v>
      </c>
      <c r="J135" s="2"/>
    </row>
    <row r="136" spans="1:10" x14ac:dyDescent="0.3">
      <c r="A136" t="s">
        <v>834</v>
      </c>
      <c r="B136" s="34" t="str">
        <f>IF(Table18[[#This Row],[gmtOffset]]&gt;0,"+",IF(Table18[[#This Row],[gmtOffset]]=0,"","-"))</f>
        <v>+</v>
      </c>
      <c r="C136">
        <v>1</v>
      </c>
      <c r="D136" s="35">
        <f>Table18[[#This Row],[gmtOffset]]/24</f>
        <v>4.1666666666666664E-2</v>
      </c>
      <c r="E136">
        <f>COUNTIFS(Table18[iataAirportCode],"="&amp;Table18[[#This Row],[iataAirportCode]])</f>
        <v>1</v>
      </c>
      <c r="F136" t="b">
        <f>ISBLANK(Table18[[#This Row],[gmtOffset]])</f>
        <v>0</v>
      </c>
      <c r="G136" t="str">
        <f>IF(AND(Table18[[#This Row],[isblank]]=TRUE,Table18[[#This Row],[count]]&gt;1),"delete","")</f>
        <v/>
      </c>
      <c r="H136" s="2"/>
      <c r="I136" s="2">
        <f>IF(ISBLANK(Table18[[#This Row],[gmtOffset]]),Table18[[#This Row],[utcOffsetLookup]],Table18[[#This Row],[gmtOffset]])</f>
        <v>1</v>
      </c>
      <c r="J136" s="2"/>
    </row>
    <row r="137" spans="1:10" x14ac:dyDescent="0.3">
      <c r="A137" t="s">
        <v>1897</v>
      </c>
      <c r="B137" s="34" t="str">
        <f>IF(Table18[[#This Row],[gmtOffset]]&gt;0,"+",IF(Table18[[#This Row],[gmtOffset]]=0,"","-"))</f>
        <v>+</v>
      </c>
      <c r="C137">
        <v>8</v>
      </c>
      <c r="D137" s="35">
        <f>Table18[[#This Row],[gmtOffset]]/24</f>
        <v>0.33333333333333331</v>
      </c>
      <c r="E137">
        <f>COUNTIFS(Table18[iataAirportCode],"="&amp;Table18[[#This Row],[iataAirportCode]])</f>
        <v>1</v>
      </c>
      <c r="F137" t="b">
        <f>ISBLANK(Table18[[#This Row],[gmtOffset]])</f>
        <v>0</v>
      </c>
      <c r="G137" t="str">
        <f>IF(AND(Table18[[#This Row],[isblank]]=TRUE,Table18[[#This Row],[count]]&gt;1),"delete","")</f>
        <v/>
      </c>
      <c r="H137" s="2"/>
      <c r="I137" s="2">
        <f>IF(ISBLANK(Table18[[#This Row],[gmtOffset]]),Table18[[#This Row],[utcOffsetLookup]],Table18[[#This Row],[gmtOffset]])</f>
        <v>8</v>
      </c>
      <c r="J137" s="2"/>
    </row>
    <row r="138" spans="1:10" x14ac:dyDescent="0.3">
      <c r="A138" t="s">
        <v>2533</v>
      </c>
      <c r="B138" s="34" t="str">
        <f>IF(Table18[[#This Row],[gmtOffset]]&gt;0,"+",IF(Table18[[#This Row],[gmtOffset]]=0,"","-"))</f>
        <v>+</v>
      </c>
      <c r="C138">
        <v>7</v>
      </c>
      <c r="D138" s="35">
        <f>Table18[[#This Row],[gmtOffset]]/24</f>
        <v>0.29166666666666669</v>
      </c>
      <c r="E138">
        <f>COUNTIFS(Table18[iataAirportCode],"="&amp;Table18[[#This Row],[iataAirportCode]])</f>
        <v>1</v>
      </c>
      <c r="F138" t="b">
        <f>ISBLANK(Table18[[#This Row],[gmtOffset]])</f>
        <v>0</v>
      </c>
      <c r="G138" t="str">
        <f>IF(AND(Table18[[#This Row],[isblank]]=TRUE,Table18[[#This Row],[count]]&gt;1),"delete","")</f>
        <v/>
      </c>
      <c r="H138" s="2"/>
      <c r="I138" s="2">
        <f>IF(ISBLANK(Table18[[#This Row],[gmtOffset]]),Table18[[#This Row],[utcOffsetLookup]],Table18[[#This Row],[gmtOffset]])</f>
        <v>7</v>
      </c>
      <c r="J138" s="2"/>
    </row>
    <row r="139" spans="1:10" x14ac:dyDescent="0.3">
      <c r="A139" t="s">
        <v>2317</v>
      </c>
      <c r="B139" s="34" t="str">
        <f>IF(Table18[[#This Row],[gmtOffset]]&gt;0,"+",IF(Table18[[#This Row],[gmtOffset]]=0,"","-"))</f>
        <v>-</v>
      </c>
      <c r="C139">
        <v>-4</v>
      </c>
      <c r="D139" s="35">
        <f>Table18[[#This Row],[gmtOffset]]/24</f>
        <v>-0.16666666666666666</v>
      </c>
      <c r="E139">
        <f>COUNTIFS(Table18[iataAirportCode],"="&amp;Table18[[#This Row],[iataAirportCode]])</f>
        <v>1</v>
      </c>
      <c r="F139" t="b">
        <f>ISBLANK(Table18[[#This Row],[gmtOffset]])</f>
        <v>0</v>
      </c>
      <c r="G139" t="str">
        <f>IF(AND(Table18[[#This Row],[isblank]]=TRUE,Table18[[#This Row],[count]]&gt;1),"delete","")</f>
        <v/>
      </c>
      <c r="H139" s="2"/>
      <c r="I139" s="2">
        <f>IF(ISBLANK(Table18[[#This Row],[gmtOffset]]),Table18[[#This Row],[utcOffsetLookup]],Table18[[#This Row],[gmtOffset]])</f>
        <v>-4</v>
      </c>
      <c r="J139" s="2"/>
    </row>
    <row r="140" spans="1:10" x14ac:dyDescent="0.3">
      <c r="A140" t="s">
        <v>1524</v>
      </c>
      <c r="B140" s="34" t="str">
        <f>IF(Table18[[#This Row],[gmtOffset]]&gt;0,"+",IF(Table18[[#This Row],[gmtOffset]]=0,"","-"))</f>
        <v>-</v>
      </c>
      <c r="C140">
        <v>-4</v>
      </c>
      <c r="D140" s="35">
        <f>Table18[[#This Row],[gmtOffset]]/24</f>
        <v>-0.16666666666666666</v>
      </c>
      <c r="E140">
        <f>COUNTIFS(Table18[iataAirportCode],"="&amp;Table18[[#This Row],[iataAirportCode]])</f>
        <v>1</v>
      </c>
      <c r="F140" t="b">
        <f>ISBLANK(Table18[[#This Row],[gmtOffset]])</f>
        <v>0</v>
      </c>
      <c r="G140" t="str">
        <f>IF(AND(Table18[[#This Row],[isblank]]=TRUE,Table18[[#This Row],[count]]&gt;1),"delete","")</f>
        <v/>
      </c>
      <c r="H140" s="2"/>
      <c r="I140" s="2">
        <f>IF(ISBLANK(Table18[[#This Row],[gmtOffset]]),Table18[[#This Row],[utcOffsetLookup]],Table18[[#This Row],[gmtOffset]])</f>
        <v>-4</v>
      </c>
      <c r="J140" s="2"/>
    </row>
    <row r="141" spans="1:10" x14ac:dyDescent="0.3">
      <c r="A141" t="s">
        <v>650</v>
      </c>
      <c r="B141" s="34" t="str">
        <f>IF(Table18[[#This Row],[gmtOffset]]&gt;0,"+",IF(Table18[[#This Row],[gmtOffset]]=0,"","-"))</f>
        <v/>
      </c>
      <c r="C141">
        <v>0</v>
      </c>
      <c r="D141" s="35">
        <f>Table18[[#This Row],[gmtOffset]]/24</f>
        <v>0</v>
      </c>
      <c r="E141">
        <f>COUNTIFS(Table18[iataAirportCode],"="&amp;Table18[[#This Row],[iataAirportCode]])</f>
        <v>1</v>
      </c>
      <c r="F141" t="b">
        <f>ISBLANK(Table18[[#This Row],[gmtOffset]])</f>
        <v>0</v>
      </c>
      <c r="G141" t="str">
        <f>IF(AND(Table18[[#This Row],[isblank]]=TRUE,Table18[[#This Row],[count]]&gt;1),"delete","")</f>
        <v/>
      </c>
      <c r="H141" s="2"/>
      <c r="I141" s="2">
        <f>IF(ISBLANK(Table18[[#This Row],[gmtOffset]]),Table18[[#This Row],[utcOffsetLookup]],Table18[[#This Row],[gmtOffset]])</f>
        <v>0</v>
      </c>
      <c r="J141" s="2"/>
    </row>
    <row r="142" spans="1:10" x14ac:dyDescent="0.3">
      <c r="A142" t="s">
        <v>98</v>
      </c>
      <c r="B142" s="34" t="str">
        <f>IF(Table18[[#This Row],[gmtOffset]]&gt;0,"+",IF(Table18[[#This Row],[gmtOffset]]=0,"","-"))</f>
        <v/>
      </c>
      <c r="C142">
        <v>0</v>
      </c>
      <c r="D142" s="35">
        <f>Table18[[#This Row],[gmtOffset]]/24</f>
        <v>0</v>
      </c>
      <c r="E142">
        <f>COUNTIFS(Table18[iataAirportCode],"="&amp;Table18[[#This Row],[iataAirportCode]])</f>
        <v>1</v>
      </c>
      <c r="F142" t="b">
        <f>ISBLANK(Table18[[#This Row],[gmtOffset]])</f>
        <v>0</v>
      </c>
      <c r="G142" t="str">
        <f>IF(AND(Table18[[#This Row],[isblank]]=TRUE,Table18[[#This Row],[count]]&gt;1),"delete","")</f>
        <v/>
      </c>
      <c r="H142" s="2"/>
      <c r="I142" s="2">
        <f>IF(ISBLANK(Table18[[#This Row],[gmtOffset]]),Table18[[#This Row],[utcOffsetLookup]],Table18[[#This Row],[gmtOffset]])</f>
        <v>0</v>
      </c>
      <c r="J142" s="2"/>
    </row>
    <row r="143" spans="1:10" x14ac:dyDescent="0.3">
      <c r="A143" t="s">
        <v>657</v>
      </c>
      <c r="B143" s="34" t="str">
        <f>IF(Table18[[#This Row],[gmtOffset]]&gt;0,"+",IF(Table18[[#This Row],[gmtOffset]]=0,"","-"))</f>
        <v/>
      </c>
      <c r="C143">
        <v>0</v>
      </c>
      <c r="D143" s="35">
        <f>Table18[[#This Row],[gmtOffset]]/24</f>
        <v>0</v>
      </c>
      <c r="E143">
        <f>COUNTIFS(Table18[iataAirportCode],"="&amp;Table18[[#This Row],[iataAirportCode]])</f>
        <v>1</v>
      </c>
      <c r="F143" t="b">
        <f>ISBLANK(Table18[[#This Row],[gmtOffset]])</f>
        <v>0</v>
      </c>
      <c r="G143" t="str">
        <f>IF(AND(Table18[[#This Row],[isblank]]=TRUE,Table18[[#This Row],[count]]&gt;1),"delete","")</f>
        <v/>
      </c>
      <c r="H143" s="2"/>
      <c r="I143" s="2">
        <f>IF(ISBLANK(Table18[[#This Row],[gmtOffset]]),Table18[[#This Row],[utcOffsetLookup]],Table18[[#This Row],[gmtOffset]])</f>
        <v>0</v>
      </c>
      <c r="J143" s="2"/>
    </row>
    <row r="144" spans="1:10" x14ac:dyDescent="0.3">
      <c r="A144" t="s">
        <v>3038</v>
      </c>
      <c r="B144" s="34" t="str">
        <f>IF(Table18[[#This Row],[gmtOffset]]&gt;0,"+",IF(Table18[[#This Row],[gmtOffset]]=0,"","-"))</f>
        <v>-</v>
      </c>
      <c r="C144">
        <v>-9</v>
      </c>
      <c r="D144" s="35">
        <f>Table18[[#This Row],[gmtOffset]]/24</f>
        <v>-0.375</v>
      </c>
      <c r="E144">
        <f>COUNTIFS(Table18[iataAirportCode],"="&amp;Table18[[#This Row],[iataAirportCode]])</f>
        <v>1</v>
      </c>
      <c r="F144" t="b">
        <f>ISBLANK(Table18[[#This Row],[gmtOffset]])</f>
        <v>0</v>
      </c>
      <c r="G144" t="str">
        <f>IF(AND(Table18[[#This Row],[isblank]]=TRUE,Table18[[#This Row],[count]]&gt;1),"delete","")</f>
        <v/>
      </c>
      <c r="H144" s="2"/>
      <c r="I144" s="2">
        <f>IF(ISBLANK(Table18[[#This Row],[gmtOffset]]),Table18[[#This Row],[utcOffsetLookup]],Table18[[#This Row],[gmtOffset]])</f>
        <v>-9</v>
      </c>
      <c r="J144" s="2"/>
    </row>
    <row r="145" spans="1:10" x14ac:dyDescent="0.3">
      <c r="A145" t="s">
        <v>2952</v>
      </c>
      <c r="B145" s="34" t="str">
        <f>IF(Table18[[#This Row],[gmtOffset]]&gt;0,"+",IF(Table18[[#This Row],[gmtOffset]]=0,"","-"))</f>
        <v>-</v>
      </c>
      <c r="C145">
        <v>-5</v>
      </c>
      <c r="D145" s="35">
        <f>Table18[[#This Row],[gmtOffset]]/24</f>
        <v>-0.20833333333333334</v>
      </c>
      <c r="E145">
        <f>COUNTIFS(Table18[iataAirportCode],"="&amp;Table18[[#This Row],[iataAirportCode]])</f>
        <v>1</v>
      </c>
      <c r="F145" t="b">
        <f>ISBLANK(Table18[[#This Row],[gmtOffset]])</f>
        <v>0</v>
      </c>
      <c r="G145" t="str">
        <f>IF(AND(Table18[[#This Row],[isblank]]=TRUE,Table18[[#This Row],[count]]&gt;1),"delete","")</f>
        <v/>
      </c>
      <c r="H145" s="2"/>
      <c r="I145" s="2">
        <f>IF(ISBLANK(Table18[[#This Row],[gmtOffset]]),Table18[[#This Row],[utcOffsetLookup]],Table18[[#This Row],[gmtOffset]])</f>
        <v>-5</v>
      </c>
      <c r="J145" s="2"/>
    </row>
    <row r="146" spans="1:10" x14ac:dyDescent="0.3">
      <c r="A146" t="s">
        <v>171</v>
      </c>
      <c r="B146" s="34" t="str">
        <f>IF(Table18[[#This Row],[gmtOffset]]&gt;0,"+",IF(Table18[[#This Row],[gmtOffset]]=0,"","-"))</f>
        <v>-</v>
      </c>
      <c r="C146">
        <v>-6</v>
      </c>
      <c r="D146" s="35">
        <f>Table18[[#This Row],[gmtOffset]]/24</f>
        <v>-0.25</v>
      </c>
      <c r="E146">
        <f>COUNTIFS(Table18[iataAirportCode],"="&amp;Table18[[#This Row],[iataAirportCode]])</f>
        <v>1</v>
      </c>
      <c r="F146" t="b">
        <f>ISBLANK(Table18[[#This Row],[gmtOffset]])</f>
        <v>0</v>
      </c>
      <c r="G146" t="str">
        <f>IF(AND(Table18[[#This Row],[isblank]]=TRUE,Table18[[#This Row],[count]]&gt;1),"delete","")</f>
        <v/>
      </c>
      <c r="H146" s="2"/>
      <c r="I146" s="2">
        <f>IF(ISBLANK(Table18[[#This Row],[gmtOffset]]),Table18[[#This Row],[utcOffsetLookup]],Table18[[#This Row],[gmtOffset]])</f>
        <v>-6</v>
      </c>
      <c r="J146" s="2"/>
    </row>
    <row r="147" spans="1:10" x14ac:dyDescent="0.3">
      <c r="A147" t="s">
        <v>3111</v>
      </c>
      <c r="B147" s="34" t="str">
        <f>IF(Table18[[#This Row],[gmtOffset]]&gt;0,"+",IF(Table18[[#This Row],[gmtOffset]]=0,"","-"))</f>
        <v>-</v>
      </c>
      <c r="C147">
        <v>-5</v>
      </c>
      <c r="D147" s="35">
        <f>Table18[[#This Row],[gmtOffset]]/24</f>
        <v>-0.20833333333333334</v>
      </c>
      <c r="E147">
        <f>COUNTIFS(Table18[iataAirportCode],"="&amp;Table18[[#This Row],[iataAirportCode]])</f>
        <v>1</v>
      </c>
      <c r="F147" t="b">
        <f>ISBLANK(Table18[[#This Row],[gmtOffset]])</f>
        <v>0</v>
      </c>
      <c r="G147" t="str">
        <f>IF(AND(Table18[[#This Row],[isblank]]=TRUE,Table18[[#This Row],[count]]&gt;1),"delete","")</f>
        <v/>
      </c>
      <c r="H147" s="2"/>
      <c r="I147" s="2">
        <f>IF(ISBLANK(Table18[[#This Row],[gmtOffset]]),Table18[[#This Row],[utcOffsetLookup]],Table18[[#This Row],[gmtOffset]])</f>
        <v>-5</v>
      </c>
      <c r="J147" s="2"/>
    </row>
    <row r="148" spans="1:10" x14ac:dyDescent="0.3">
      <c r="A148" t="s">
        <v>2732</v>
      </c>
      <c r="B148" s="34" t="str">
        <f>IF(Table18[[#This Row],[gmtOffset]]&gt;0,"+",IF(Table18[[#This Row],[gmtOffset]]=0,"","-"))</f>
        <v>-</v>
      </c>
      <c r="C148">
        <v>-5</v>
      </c>
      <c r="D148" s="35">
        <f>Table18[[#This Row],[gmtOffset]]/24</f>
        <v>-0.20833333333333334</v>
      </c>
      <c r="E148">
        <f>COUNTIFS(Table18[iataAirportCode],"="&amp;Table18[[#This Row],[iataAirportCode]])</f>
        <v>1</v>
      </c>
      <c r="F148" t="b">
        <f>ISBLANK(Table18[[#This Row],[gmtOffset]])</f>
        <v>0</v>
      </c>
      <c r="G148" t="str">
        <f>IF(AND(Table18[[#This Row],[isblank]]=TRUE,Table18[[#This Row],[count]]&gt;1),"delete","")</f>
        <v/>
      </c>
      <c r="H148" s="2"/>
      <c r="I148" s="2">
        <f>IF(ISBLANK(Table18[[#This Row],[gmtOffset]]),Table18[[#This Row],[utcOffsetLookup]],Table18[[#This Row],[gmtOffset]])</f>
        <v>-5</v>
      </c>
      <c r="J148" s="2"/>
    </row>
    <row r="149" spans="1:10" x14ac:dyDescent="0.3">
      <c r="A149" t="s">
        <v>3137</v>
      </c>
      <c r="B149" s="34" t="str">
        <f>IF(Table18[[#This Row],[gmtOffset]]&gt;0,"+",IF(Table18[[#This Row],[gmtOffset]]=0,"","-"))</f>
        <v>-</v>
      </c>
      <c r="C149">
        <v>-5</v>
      </c>
      <c r="D149" s="35">
        <f>Table18[[#This Row],[gmtOffset]]/24</f>
        <v>-0.20833333333333334</v>
      </c>
      <c r="E149">
        <f>COUNTIFS(Table18[iataAirportCode],"="&amp;Table18[[#This Row],[iataAirportCode]])</f>
        <v>1</v>
      </c>
      <c r="F149" t="b">
        <f>ISBLANK(Table18[[#This Row],[gmtOffset]])</f>
        <v>0</v>
      </c>
      <c r="G149" t="str">
        <f>IF(AND(Table18[[#This Row],[isblank]]=TRUE,Table18[[#This Row],[count]]&gt;1),"delete","")</f>
        <v/>
      </c>
      <c r="H149" s="2"/>
      <c r="I149" s="2">
        <f>IF(ISBLANK(Table18[[#This Row],[gmtOffset]]),Table18[[#This Row],[utcOffsetLookup]],Table18[[#This Row],[gmtOffset]])</f>
        <v>-5</v>
      </c>
      <c r="J149" s="2"/>
    </row>
    <row r="150" spans="1:10" x14ac:dyDescent="0.3">
      <c r="A150" t="s">
        <v>3013</v>
      </c>
      <c r="B150" s="34" t="str">
        <f>IF(Table18[[#This Row],[gmtOffset]]&gt;0,"+",IF(Table18[[#This Row],[gmtOffset]]=0,"","-"))</f>
        <v>-</v>
      </c>
      <c r="C150">
        <v>-6</v>
      </c>
      <c r="D150" s="35">
        <f>Table18[[#This Row],[gmtOffset]]/24</f>
        <v>-0.25</v>
      </c>
      <c r="E150">
        <f>COUNTIFS(Table18[iataAirportCode],"="&amp;Table18[[#This Row],[iataAirportCode]])</f>
        <v>1</v>
      </c>
      <c r="F150" t="b">
        <f>ISBLANK(Table18[[#This Row],[gmtOffset]])</f>
        <v>0</v>
      </c>
      <c r="G150" t="str">
        <f>IF(AND(Table18[[#This Row],[isblank]]=TRUE,Table18[[#This Row],[count]]&gt;1),"delete","")</f>
        <v/>
      </c>
      <c r="H150" s="2"/>
      <c r="I150" s="2">
        <f>IF(ISBLANK(Table18[[#This Row],[gmtOffset]]),Table18[[#This Row],[utcOffsetLookup]],Table18[[#This Row],[gmtOffset]])</f>
        <v>-6</v>
      </c>
      <c r="J150" s="2"/>
    </row>
    <row r="151" spans="1:10" x14ac:dyDescent="0.3">
      <c r="A151" t="s">
        <v>219</v>
      </c>
      <c r="B151" s="34" t="str">
        <f>IF(Table18[[#This Row],[gmtOffset]]&gt;0,"+",IF(Table18[[#This Row],[gmtOffset]]=0,"","-"))</f>
        <v>-</v>
      </c>
      <c r="C151">
        <v>-6</v>
      </c>
      <c r="D151" s="35">
        <f>Table18[[#This Row],[gmtOffset]]/24</f>
        <v>-0.25</v>
      </c>
      <c r="E151">
        <f>COUNTIFS(Table18[iataAirportCode],"="&amp;Table18[[#This Row],[iataAirportCode]])</f>
        <v>1</v>
      </c>
      <c r="F151" t="b">
        <f>ISBLANK(Table18[[#This Row],[gmtOffset]])</f>
        <v>0</v>
      </c>
      <c r="G151" t="str">
        <f>IF(AND(Table18[[#This Row],[isblank]]=TRUE,Table18[[#This Row],[count]]&gt;1),"delete","")</f>
        <v/>
      </c>
      <c r="H151" s="2"/>
      <c r="I151" s="2">
        <f>IF(ISBLANK(Table18[[#This Row],[gmtOffset]]),Table18[[#This Row],[utcOffsetLookup]],Table18[[#This Row],[gmtOffset]])</f>
        <v>-6</v>
      </c>
      <c r="J151" s="2"/>
    </row>
    <row r="152" spans="1:10" x14ac:dyDescent="0.3">
      <c r="A152" t="s">
        <v>2769</v>
      </c>
      <c r="B152" s="34" t="str">
        <f>IF(Table18[[#This Row],[gmtOffset]]&gt;0,"+",IF(Table18[[#This Row],[gmtOffset]]=0,"","-"))</f>
        <v>-</v>
      </c>
      <c r="C152">
        <v>-5</v>
      </c>
      <c r="D152" s="35">
        <f>Table18[[#This Row],[gmtOffset]]/24</f>
        <v>-0.20833333333333334</v>
      </c>
      <c r="E152">
        <f>COUNTIFS(Table18[iataAirportCode],"="&amp;Table18[[#This Row],[iataAirportCode]])</f>
        <v>1</v>
      </c>
      <c r="F152" t="b">
        <f>ISBLANK(Table18[[#This Row],[gmtOffset]])</f>
        <v>0</v>
      </c>
      <c r="G152" t="str">
        <f>IF(AND(Table18[[#This Row],[isblank]]=TRUE,Table18[[#This Row],[count]]&gt;1),"delete","")</f>
        <v/>
      </c>
      <c r="H152" s="2"/>
      <c r="I152" s="2">
        <f>IF(ISBLANK(Table18[[#This Row],[gmtOffset]]),Table18[[#This Row],[utcOffsetLookup]],Table18[[#This Row],[gmtOffset]])</f>
        <v>-5</v>
      </c>
      <c r="J152" s="2"/>
    </row>
    <row r="153" spans="1:10" x14ac:dyDescent="0.3">
      <c r="A153" t="s">
        <v>2767</v>
      </c>
      <c r="B153" s="34" t="str">
        <f>IF(Table18[[#This Row],[gmtOffset]]&gt;0,"+",IF(Table18[[#This Row],[gmtOffset]]=0,"","-"))</f>
        <v>-</v>
      </c>
      <c r="C153">
        <v>-5</v>
      </c>
      <c r="D153" s="35">
        <f>Table18[[#This Row],[gmtOffset]]/24</f>
        <v>-0.20833333333333334</v>
      </c>
      <c r="E153">
        <f>COUNTIFS(Table18[iataAirportCode],"="&amp;Table18[[#This Row],[iataAirportCode]])</f>
        <v>1</v>
      </c>
      <c r="F153" t="b">
        <f>ISBLANK(Table18[[#This Row],[gmtOffset]])</f>
        <v>0</v>
      </c>
      <c r="G153" t="str">
        <f>IF(AND(Table18[[#This Row],[isblank]]=TRUE,Table18[[#This Row],[count]]&gt;1),"delete","")</f>
        <v/>
      </c>
      <c r="H153" s="2"/>
      <c r="I153" s="2">
        <f>IF(ISBLANK(Table18[[#This Row],[gmtOffset]]),Table18[[#This Row],[utcOffsetLookup]],Table18[[#This Row],[gmtOffset]])</f>
        <v>-5</v>
      </c>
      <c r="J153" s="2"/>
    </row>
    <row r="154" spans="1:10" x14ac:dyDescent="0.3">
      <c r="A154" t="s">
        <v>2942</v>
      </c>
      <c r="B154" s="34" t="str">
        <f>IF(Table18[[#This Row],[gmtOffset]]&gt;0,"+",IF(Table18[[#This Row],[gmtOffset]]=0,"","-"))</f>
        <v>-</v>
      </c>
      <c r="C154">
        <v>-6</v>
      </c>
      <c r="D154" s="35">
        <f>Table18[[#This Row],[gmtOffset]]/24</f>
        <v>-0.25</v>
      </c>
      <c r="E154">
        <f>COUNTIFS(Table18[iataAirportCode],"="&amp;Table18[[#This Row],[iataAirportCode]])</f>
        <v>1</v>
      </c>
      <c r="F154" t="b">
        <f>ISBLANK(Table18[[#This Row],[gmtOffset]])</f>
        <v>0</v>
      </c>
      <c r="G154" t="str">
        <f>IF(AND(Table18[[#This Row],[isblank]]=TRUE,Table18[[#This Row],[count]]&gt;1),"delete","")</f>
        <v/>
      </c>
      <c r="H154" s="2"/>
      <c r="I154" s="2">
        <f>IF(ISBLANK(Table18[[#This Row],[gmtOffset]]),Table18[[#This Row],[utcOffsetLookup]],Table18[[#This Row],[gmtOffset]])</f>
        <v>-6</v>
      </c>
      <c r="J154" s="2"/>
    </row>
    <row r="155" spans="1:10" x14ac:dyDescent="0.3">
      <c r="A155" t="s">
        <v>3017</v>
      </c>
      <c r="B155" s="34" t="str">
        <f>IF(Table18[[#This Row],[gmtOffset]]&gt;0,"+",IF(Table18[[#This Row],[gmtOffset]]=0,"","-"))</f>
        <v>-</v>
      </c>
      <c r="C155">
        <v>-7</v>
      </c>
      <c r="D155" s="35">
        <f>Table18[[#This Row],[gmtOffset]]/24</f>
        <v>-0.29166666666666669</v>
      </c>
      <c r="E155">
        <f>COUNTIFS(Table18[iataAirportCode],"="&amp;Table18[[#This Row],[iataAirportCode]])</f>
        <v>1</v>
      </c>
      <c r="F155" t="b">
        <f>ISBLANK(Table18[[#This Row],[gmtOffset]])</f>
        <v>0</v>
      </c>
      <c r="G155" t="str">
        <f>IF(AND(Table18[[#This Row],[isblank]]=TRUE,Table18[[#This Row],[count]]&gt;1),"delete","")</f>
        <v/>
      </c>
      <c r="H155" s="2"/>
      <c r="I155" s="2">
        <f>IF(ISBLANK(Table18[[#This Row],[gmtOffset]]),Table18[[#This Row],[utcOffsetLookup]],Table18[[#This Row],[gmtOffset]])</f>
        <v>-7</v>
      </c>
      <c r="J155" s="2"/>
    </row>
    <row r="156" spans="1:10" x14ac:dyDescent="0.3">
      <c r="A156" t="s">
        <v>2917</v>
      </c>
      <c r="B156" s="34" t="str">
        <f>IF(Table18[[#This Row],[gmtOffset]]&gt;0,"+",IF(Table18[[#This Row],[gmtOffset]]=0,"","-"))</f>
        <v>-</v>
      </c>
      <c r="C156">
        <v>-5</v>
      </c>
      <c r="D156" s="35">
        <f>Table18[[#This Row],[gmtOffset]]/24</f>
        <v>-0.20833333333333334</v>
      </c>
      <c r="E156">
        <f>COUNTIFS(Table18[iataAirportCode],"="&amp;Table18[[#This Row],[iataAirportCode]])</f>
        <v>1</v>
      </c>
      <c r="F156" t="b">
        <f>ISBLANK(Table18[[#This Row],[gmtOffset]])</f>
        <v>0</v>
      </c>
      <c r="G156" t="str">
        <f>IF(AND(Table18[[#This Row],[isblank]]=TRUE,Table18[[#This Row],[count]]&gt;1),"delete","")</f>
        <v/>
      </c>
      <c r="H156" s="2"/>
      <c r="I156" s="2">
        <f>IF(ISBLANK(Table18[[#This Row],[gmtOffset]]),Table18[[#This Row],[utcOffsetLookup]],Table18[[#This Row],[gmtOffset]])</f>
        <v>-5</v>
      </c>
      <c r="J156" s="2"/>
    </row>
    <row r="157" spans="1:10" x14ac:dyDescent="0.3">
      <c r="A157" t="s">
        <v>2813</v>
      </c>
      <c r="B157" s="34" t="str">
        <f>IF(Table18[[#This Row],[gmtOffset]]&gt;0,"+",IF(Table18[[#This Row],[gmtOffset]]=0,"","-"))</f>
        <v>-</v>
      </c>
      <c r="C157">
        <v>-5</v>
      </c>
      <c r="D157" s="35">
        <f>Table18[[#This Row],[gmtOffset]]/24</f>
        <v>-0.20833333333333334</v>
      </c>
      <c r="E157">
        <f>COUNTIFS(Table18[iataAirportCode],"="&amp;Table18[[#This Row],[iataAirportCode]])</f>
        <v>1</v>
      </c>
      <c r="F157" t="b">
        <f>ISBLANK(Table18[[#This Row],[gmtOffset]])</f>
        <v>0</v>
      </c>
      <c r="G157" t="str">
        <f>IF(AND(Table18[[#This Row],[isblank]]=TRUE,Table18[[#This Row],[count]]&gt;1),"delete","")</f>
        <v/>
      </c>
      <c r="H157" s="2"/>
      <c r="I157" s="2">
        <f>IF(ISBLANK(Table18[[#This Row],[gmtOffset]]),Table18[[#This Row],[utcOffsetLookup]],Table18[[#This Row],[gmtOffset]])</f>
        <v>-5</v>
      </c>
      <c r="J157" s="2"/>
    </row>
    <row r="158" spans="1:10" x14ac:dyDescent="0.3">
      <c r="A158" t="s">
        <v>3057</v>
      </c>
      <c r="B158" s="34" t="str">
        <f>IF(Table18[[#This Row],[gmtOffset]]&gt;0,"+",IF(Table18[[#This Row],[gmtOffset]]=0,"","-"))</f>
        <v>-</v>
      </c>
      <c r="C158">
        <v>-5</v>
      </c>
      <c r="D158" s="35">
        <f>Table18[[#This Row],[gmtOffset]]/24</f>
        <v>-0.20833333333333334</v>
      </c>
      <c r="E158">
        <f>COUNTIFS(Table18[iataAirportCode],"="&amp;Table18[[#This Row],[iataAirportCode]])</f>
        <v>1</v>
      </c>
      <c r="F158" t="b">
        <f>ISBLANK(Table18[[#This Row],[gmtOffset]])</f>
        <v>0</v>
      </c>
      <c r="G158" t="str">
        <f>IF(AND(Table18[[#This Row],[isblank]]=TRUE,Table18[[#This Row],[count]]&gt;1),"delete","")</f>
        <v/>
      </c>
      <c r="H158" s="2"/>
      <c r="I158" s="2">
        <f>IF(ISBLANK(Table18[[#This Row],[gmtOffset]]),Table18[[#This Row],[utcOffsetLookup]],Table18[[#This Row],[gmtOffset]])</f>
        <v>-5</v>
      </c>
      <c r="J158" s="2"/>
    </row>
    <row r="159" spans="1:10" x14ac:dyDescent="0.3">
      <c r="A159" t="s">
        <v>2957</v>
      </c>
      <c r="B159" s="34" t="str">
        <f>IF(Table18[[#This Row],[gmtOffset]]&gt;0,"+",IF(Table18[[#This Row],[gmtOffset]]=0,"","-"))</f>
        <v>-</v>
      </c>
      <c r="C159">
        <v>-8</v>
      </c>
      <c r="D159" s="35">
        <f>Table18[[#This Row],[gmtOffset]]/24</f>
        <v>-0.33333333333333331</v>
      </c>
      <c r="E159">
        <f>COUNTIFS(Table18[iataAirportCode],"="&amp;Table18[[#This Row],[iataAirportCode]])</f>
        <v>1</v>
      </c>
      <c r="F159" t="b">
        <f>ISBLANK(Table18[[#This Row],[gmtOffset]])</f>
        <v>0</v>
      </c>
      <c r="G159" t="str">
        <f>IF(AND(Table18[[#This Row],[isblank]]=TRUE,Table18[[#This Row],[count]]&gt;1),"delete","")</f>
        <v/>
      </c>
      <c r="H159" s="2"/>
      <c r="I159" s="2">
        <f>IF(ISBLANK(Table18[[#This Row],[gmtOffset]]),Table18[[#This Row],[utcOffsetLookup]],Table18[[#This Row],[gmtOffset]])</f>
        <v>-8</v>
      </c>
      <c r="J159" s="2"/>
    </row>
    <row r="160" spans="1:10" x14ac:dyDescent="0.3">
      <c r="A160" t="s">
        <v>2995</v>
      </c>
      <c r="B160" s="34" t="str">
        <f>IF(Table18[[#This Row],[gmtOffset]]&gt;0,"+",IF(Table18[[#This Row],[gmtOffset]]=0,"","-"))</f>
        <v>-</v>
      </c>
      <c r="C160">
        <v>-10</v>
      </c>
      <c r="D160" s="35">
        <f>Table18[[#This Row],[gmtOffset]]/24</f>
        <v>-0.41666666666666669</v>
      </c>
      <c r="E160">
        <f>COUNTIFS(Table18[iataAirportCode],"="&amp;Table18[[#This Row],[iataAirportCode]])</f>
        <v>1</v>
      </c>
      <c r="F160" t="b">
        <f>ISBLANK(Table18[[#This Row],[gmtOffset]])</f>
        <v>0</v>
      </c>
      <c r="G160" t="str">
        <f>IF(AND(Table18[[#This Row],[isblank]]=TRUE,Table18[[#This Row],[count]]&gt;1),"delete","")</f>
        <v/>
      </c>
      <c r="H160" s="2"/>
      <c r="I160" s="2">
        <f>IF(ISBLANK(Table18[[#This Row],[gmtOffset]]),Table18[[#This Row],[utcOffsetLookup]],Table18[[#This Row],[gmtOffset]])</f>
        <v>-10</v>
      </c>
      <c r="J160" s="2"/>
    </row>
    <row r="161" spans="1:10" x14ac:dyDescent="0.3">
      <c r="A161" t="s">
        <v>2828</v>
      </c>
      <c r="B161" s="34" t="str">
        <f>IF(Table18[[#This Row],[gmtOffset]]&gt;0,"+",IF(Table18[[#This Row],[gmtOffset]]=0,"","-"))</f>
        <v>-</v>
      </c>
      <c r="C161">
        <v>-6</v>
      </c>
      <c r="D161" s="35">
        <f>Table18[[#This Row],[gmtOffset]]/24</f>
        <v>-0.25</v>
      </c>
      <c r="E161">
        <f>COUNTIFS(Table18[iataAirportCode],"="&amp;Table18[[#This Row],[iataAirportCode]])</f>
        <v>1</v>
      </c>
      <c r="F161" t="b">
        <f>ISBLANK(Table18[[#This Row],[gmtOffset]])</f>
        <v>0</v>
      </c>
      <c r="G161" t="str">
        <f>IF(AND(Table18[[#This Row],[isblank]]=TRUE,Table18[[#This Row],[count]]&gt;1),"delete","")</f>
        <v/>
      </c>
      <c r="H161" s="2"/>
      <c r="I161" s="2">
        <f>IF(ISBLANK(Table18[[#This Row],[gmtOffset]]),Table18[[#This Row],[utcOffsetLookup]],Table18[[#This Row],[gmtOffset]])</f>
        <v>-6</v>
      </c>
      <c r="J161" s="2"/>
    </row>
    <row r="162" spans="1:10" x14ac:dyDescent="0.3">
      <c r="A162" t="s">
        <v>2842</v>
      </c>
      <c r="B162" s="34" t="str">
        <f>IF(Table18[[#This Row],[gmtOffset]]&gt;0,"+",IF(Table18[[#This Row],[gmtOffset]]=0,"","-"))</f>
        <v>-</v>
      </c>
      <c r="C162">
        <v>-6</v>
      </c>
      <c r="D162" s="35">
        <f>Table18[[#This Row],[gmtOffset]]/24</f>
        <v>-0.25</v>
      </c>
      <c r="E162">
        <f>COUNTIFS(Table18[iataAirportCode],"="&amp;Table18[[#This Row],[iataAirportCode]])</f>
        <v>1</v>
      </c>
      <c r="F162" t="b">
        <f>ISBLANK(Table18[[#This Row],[gmtOffset]])</f>
        <v>0</v>
      </c>
      <c r="G162" t="str">
        <f>IF(AND(Table18[[#This Row],[isblank]]=TRUE,Table18[[#This Row],[count]]&gt;1),"delete","")</f>
        <v/>
      </c>
      <c r="H162" s="2"/>
      <c r="I162" s="2">
        <f>IF(ISBLANK(Table18[[#This Row],[gmtOffset]]),Table18[[#This Row],[utcOffsetLookup]],Table18[[#This Row],[gmtOffset]])</f>
        <v>-6</v>
      </c>
      <c r="J162" s="2"/>
    </row>
    <row r="163" spans="1:10" x14ac:dyDescent="0.3">
      <c r="A163" t="s">
        <v>2740</v>
      </c>
      <c r="B163" s="34" t="str">
        <f>IF(Table18[[#This Row],[gmtOffset]]&gt;0,"+",IF(Table18[[#This Row],[gmtOffset]]=0,"","-"))</f>
        <v>-</v>
      </c>
      <c r="C163">
        <v>-10</v>
      </c>
      <c r="D163" s="35">
        <f>Table18[[#This Row],[gmtOffset]]/24</f>
        <v>-0.41666666666666669</v>
      </c>
      <c r="E163">
        <f>COUNTIFS(Table18[iataAirportCode],"="&amp;Table18[[#This Row],[iataAirportCode]])</f>
        <v>1</v>
      </c>
      <c r="F163" t="b">
        <f>ISBLANK(Table18[[#This Row],[gmtOffset]])</f>
        <v>0</v>
      </c>
      <c r="G163" t="str">
        <f>IF(AND(Table18[[#This Row],[isblank]]=TRUE,Table18[[#This Row],[count]]&gt;1),"delete","")</f>
        <v/>
      </c>
      <c r="H163" s="2"/>
      <c r="I163" s="2">
        <f>IF(ISBLANK(Table18[[#This Row],[gmtOffset]]),Table18[[#This Row],[utcOffsetLookup]],Table18[[#This Row],[gmtOffset]])</f>
        <v>-10</v>
      </c>
      <c r="J163" s="2"/>
    </row>
    <row r="164" spans="1:10" x14ac:dyDescent="0.3">
      <c r="A164" t="s">
        <v>3138</v>
      </c>
      <c r="B164" s="34" t="str">
        <f>IF(Table18[[#This Row],[gmtOffset]]&gt;0,"+",IF(Table18[[#This Row],[gmtOffset]]=0,"","-"))</f>
        <v>-</v>
      </c>
      <c r="C164">
        <v>-8</v>
      </c>
      <c r="D164" s="35">
        <f>Table18[[#This Row],[gmtOffset]]/24</f>
        <v>-0.33333333333333331</v>
      </c>
      <c r="E164">
        <f>COUNTIFS(Table18[iataAirportCode],"="&amp;Table18[[#This Row],[iataAirportCode]])</f>
        <v>1</v>
      </c>
      <c r="F164" t="b">
        <f>ISBLANK(Table18[[#This Row],[gmtOffset]])</f>
        <v>0</v>
      </c>
      <c r="G164" t="str">
        <f>IF(AND(Table18[[#This Row],[isblank]]=TRUE,Table18[[#This Row],[count]]&gt;1),"delete","")</f>
        <v/>
      </c>
      <c r="H164" s="2"/>
      <c r="I164" s="2">
        <f>IF(ISBLANK(Table18[[#This Row],[gmtOffset]]),Table18[[#This Row],[utcOffsetLookup]],Table18[[#This Row],[gmtOffset]])</f>
        <v>-8</v>
      </c>
      <c r="J164" s="2"/>
    </row>
    <row r="165" spans="1:10" x14ac:dyDescent="0.3">
      <c r="A165" t="s">
        <v>2852</v>
      </c>
      <c r="B165" s="34" t="str">
        <f>IF(Table18[[#This Row],[gmtOffset]]&gt;0,"+",IF(Table18[[#This Row],[gmtOffset]]=0,"","-"))</f>
        <v>-</v>
      </c>
      <c r="C165">
        <v>-5</v>
      </c>
      <c r="D165" s="35">
        <f>Table18[[#This Row],[gmtOffset]]/24</f>
        <v>-0.20833333333333334</v>
      </c>
      <c r="E165">
        <f>COUNTIFS(Table18[iataAirportCode],"="&amp;Table18[[#This Row],[iataAirportCode]])</f>
        <v>1</v>
      </c>
      <c r="F165" t="b">
        <f>ISBLANK(Table18[[#This Row],[gmtOffset]])</f>
        <v>0</v>
      </c>
      <c r="G165" t="str">
        <f>IF(AND(Table18[[#This Row],[isblank]]=TRUE,Table18[[#This Row],[count]]&gt;1),"delete","")</f>
        <v/>
      </c>
      <c r="H165" s="2"/>
      <c r="I165" s="2">
        <f>IF(ISBLANK(Table18[[#This Row],[gmtOffset]]),Table18[[#This Row],[utcOffsetLookup]],Table18[[#This Row],[gmtOffset]])</f>
        <v>-5</v>
      </c>
      <c r="J165" s="2"/>
    </row>
    <row r="166" spans="1:10" x14ac:dyDescent="0.3">
      <c r="A166" t="s">
        <v>3120</v>
      </c>
      <c r="B166" s="34" t="str">
        <f>IF(Table18[[#This Row],[gmtOffset]]&gt;0,"+",IF(Table18[[#This Row],[gmtOffset]]=0,"","-"))</f>
        <v>-</v>
      </c>
      <c r="C166">
        <v>-6</v>
      </c>
      <c r="D166" s="35">
        <f>Table18[[#This Row],[gmtOffset]]/24</f>
        <v>-0.25</v>
      </c>
      <c r="E166">
        <f>COUNTIFS(Table18[iataAirportCode],"="&amp;Table18[[#This Row],[iataAirportCode]])</f>
        <v>1</v>
      </c>
      <c r="F166" t="b">
        <f>ISBLANK(Table18[[#This Row],[gmtOffset]])</f>
        <v>0</v>
      </c>
      <c r="G166" t="str">
        <f>IF(AND(Table18[[#This Row],[isblank]]=TRUE,Table18[[#This Row],[count]]&gt;1),"delete","")</f>
        <v/>
      </c>
      <c r="H166" s="2"/>
      <c r="I166" s="2">
        <f>IF(ISBLANK(Table18[[#This Row],[gmtOffset]]),Table18[[#This Row],[utcOffsetLookup]],Table18[[#This Row],[gmtOffset]])</f>
        <v>-6</v>
      </c>
      <c r="J166" s="2"/>
    </row>
    <row r="167" spans="1:10" x14ac:dyDescent="0.3">
      <c r="A167" t="s">
        <v>2775</v>
      </c>
      <c r="B167" s="34" t="str">
        <f>IF(Table18[[#This Row],[gmtOffset]]&gt;0,"+",IF(Table18[[#This Row],[gmtOffset]]=0,"","-"))</f>
        <v>-</v>
      </c>
      <c r="C167">
        <v>-5</v>
      </c>
      <c r="D167" s="35">
        <f>Table18[[#This Row],[gmtOffset]]/24</f>
        <v>-0.20833333333333334</v>
      </c>
      <c r="E167">
        <f>COUNTIFS(Table18[iataAirportCode],"="&amp;Table18[[#This Row],[iataAirportCode]])</f>
        <v>1</v>
      </c>
      <c r="F167" t="b">
        <f>ISBLANK(Table18[[#This Row],[gmtOffset]])</f>
        <v>0</v>
      </c>
      <c r="G167" t="str">
        <f>IF(AND(Table18[[#This Row],[isblank]]=TRUE,Table18[[#This Row],[count]]&gt;1),"delete","")</f>
        <v/>
      </c>
      <c r="H167" s="2"/>
      <c r="I167" s="2">
        <f>IF(ISBLANK(Table18[[#This Row],[gmtOffset]]),Table18[[#This Row],[utcOffsetLookup]],Table18[[#This Row],[gmtOffset]])</f>
        <v>-5</v>
      </c>
      <c r="J167" s="2"/>
    </row>
    <row r="168" spans="1:10" x14ac:dyDescent="0.3">
      <c r="A168" t="s">
        <v>2737</v>
      </c>
      <c r="B168" s="34" t="str">
        <f>IF(Table18[[#This Row],[gmtOffset]]&gt;0,"+",IF(Table18[[#This Row],[gmtOffset]]=0,"","-"))</f>
        <v>-</v>
      </c>
      <c r="C168">
        <v>-8</v>
      </c>
      <c r="D168" s="35">
        <f>Table18[[#This Row],[gmtOffset]]/24</f>
        <v>-0.33333333333333331</v>
      </c>
      <c r="E168">
        <f>COUNTIFS(Table18[iataAirportCode],"="&amp;Table18[[#This Row],[iataAirportCode]])</f>
        <v>1</v>
      </c>
      <c r="F168" t="b">
        <f>ISBLANK(Table18[[#This Row],[gmtOffset]])</f>
        <v>0</v>
      </c>
      <c r="G168" t="str">
        <f>IF(AND(Table18[[#This Row],[isblank]]=TRUE,Table18[[#This Row],[count]]&gt;1),"delete","")</f>
        <v/>
      </c>
      <c r="H168" s="2"/>
      <c r="I168" s="2">
        <f>IF(ISBLANK(Table18[[#This Row],[gmtOffset]]),Table18[[#This Row],[utcOffsetLookup]],Table18[[#This Row],[gmtOffset]])</f>
        <v>-8</v>
      </c>
      <c r="J168" s="2"/>
    </row>
    <row r="169" spans="1:10" x14ac:dyDescent="0.3">
      <c r="A169" t="s">
        <v>3392</v>
      </c>
      <c r="B169" s="34" t="str">
        <f>IF(Table18[[#This Row],[gmtOffset]]&gt;0,"+",IF(Table18[[#This Row],[gmtOffset]]=0,"","-"))</f>
        <v>-</v>
      </c>
      <c r="C169">
        <v>-5</v>
      </c>
      <c r="D169" s="35">
        <f>Table18[[#This Row],[gmtOffset]]/24</f>
        <v>-0.20833333333333334</v>
      </c>
      <c r="E169">
        <f>COUNTIFS(Table18[iataAirportCode],"="&amp;Table18[[#This Row],[iataAirportCode]])</f>
        <v>1</v>
      </c>
      <c r="F169" t="b">
        <f>ISBLANK(Table18[[#This Row],[gmtOffset]])</f>
        <v>0</v>
      </c>
      <c r="G169" t="str">
        <f>IF(AND(Table18[[#This Row],[isblank]]=TRUE,Table18[[#This Row],[count]]&gt;1),"delete","")</f>
        <v/>
      </c>
      <c r="H169" s="2"/>
      <c r="I169" s="2">
        <f>IF(ISBLANK(Table18[[#This Row],[gmtOffset]]),Table18[[#This Row],[utcOffsetLookup]],Table18[[#This Row],[gmtOffset]])</f>
        <v>-5</v>
      </c>
      <c r="J169" s="2"/>
    </row>
    <row r="170" spans="1:10" x14ac:dyDescent="0.3">
      <c r="A170" t="s">
        <v>3139</v>
      </c>
      <c r="B170" s="34" t="str">
        <f>IF(Table18[[#This Row],[gmtOffset]]&gt;0,"+",IF(Table18[[#This Row],[gmtOffset]]=0,"","-"))</f>
        <v>-</v>
      </c>
      <c r="C170">
        <v>-5</v>
      </c>
      <c r="D170" s="35">
        <f>Table18[[#This Row],[gmtOffset]]/24</f>
        <v>-0.20833333333333334</v>
      </c>
      <c r="E170">
        <f>COUNTIFS(Table18[iataAirportCode],"="&amp;Table18[[#This Row],[iataAirportCode]])</f>
        <v>1</v>
      </c>
      <c r="F170" t="b">
        <f>ISBLANK(Table18[[#This Row],[gmtOffset]])</f>
        <v>0</v>
      </c>
      <c r="G170" t="str">
        <f>IF(AND(Table18[[#This Row],[isblank]]=TRUE,Table18[[#This Row],[count]]&gt;1),"delete","")</f>
        <v/>
      </c>
      <c r="H170" s="2"/>
      <c r="I170" s="2">
        <f>IF(ISBLANK(Table18[[#This Row],[gmtOffset]]),Table18[[#This Row],[utcOffsetLookup]],Table18[[#This Row],[gmtOffset]])</f>
        <v>-5</v>
      </c>
      <c r="J170" s="2"/>
    </row>
    <row r="171" spans="1:10" x14ac:dyDescent="0.3">
      <c r="A171" t="s">
        <v>3101</v>
      </c>
      <c r="B171" s="34" t="str">
        <f>IF(Table18[[#This Row],[gmtOffset]]&gt;0,"+",IF(Table18[[#This Row],[gmtOffset]]=0,"","-"))</f>
        <v>-</v>
      </c>
      <c r="C171">
        <v>-8</v>
      </c>
      <c r="D171" s="35">
        <f>Table18[[#This Row],[gmtOffset]]/24</f>
        <v>-0.33333333333333331</v>
      </c>
      <c r="E171">
        <f>COUNTIFS(Table18[iataAirportCode],"="&amp;Table18[[#This Row],[iataAirportCode]])</f>
        <v>1</v>
      </c>
      <c r="F171" t="b">
        <f>ISBLANK(Table18[[#This Row],[gmtOffset]])</f>
        <v>0</v>
      </c>
      <c r="G171" t="str">
        <f>IF(AND(Table18[[#This Row],[isblank]]=TRUE,Table18[[#This Row],[count]]&gt;1),"delete","")</f>
        <v/>
      </c>
      <c r="H171" s="2"/>
      <c r="I171" s="2">
        <f>IF(ISBLANK(Table18[[#This Row],[gmtOffset]]),Table18[[#This Row],[utcOffsetLookup]],Table18[[#This Row],[gmtOffset]])</f>
        <v>-8</v>
      </c>
      <c r="J171" s="2"/>
    </row>
    <row r="172" spans="1:10" x14ac:dyDescent="0.3">
      <c r="A172" t="s">
        <v>193</v>
      </c>
      <c r="B172" s="34" t="str">
        <f>IF(Table18[[#This Row],[gmtOffset]]&gt;0,"+",IF(Table18[[#This Row],[gmtOffset]]=0,"","-"))</f>
        <v>-</v>
      </c>
      <c r="C172">
        <v>-5</v>
      </c>
      <c r="D172" s="35">
        <f>Table18[[#This Row],[gmtOffset]]/24</f>
        <v>-0.20833333333333334</v>
      </c>
      <c r="E172">
        <f>COUNTIFS(Table18[iataAirportCode],"="&amp;Table18[[#This Row],[iataAirportCode]])</f>
        <v>1</v>
      </c>
      <c r="F172" t="b">
        <f>ISBLANK(Table18[[#This Row],[gmtOffset]])</f>
        <v>0</v>
      </c>
      <c r="G172" t="str">
        <f>IF(AND(Table18[[#This Row],[isblank]]=TRUE,Table18[[#This Row],[count]]&gt;1),"delete","")</f>
        <v/>
      </c>
      <c r="H172" s="2"/>
      <c r="I172" s="2">
        <f>IF(ISBLANK(Table18[[#This Row],[gmtOffset]]),Table18[[#This Row],[utcOffsetLookup]],Table18[[#This Row],[gmtOffset]])</f>
        <v>-5</v>
      </c>
      <c r="J172" s="2"/>
    </row>
    <row r="173" spans="1:10" x14ac:dyDescent="0.3">
      <c r="A173" t="s">
        <v>2746</v>
      </c>
      <c r="B173" s="34" t="str">
        <f>IF(Table18[[#This Row],[gmtOffset]]&gt;0,"+",IF(Table18[[#This Row],[gmtOffset]]=0,"","-"))</f>
        <v>-</v>
      </c>
      <c r="C173">
        <v>-7</v>
      </c>
      <c r="D173" s="35">
        <f>Table18[[#This Row],[gmtOffset]]/24</f>
        <v>-0.29166666666666669</v>
      </c>
      <c r="E173">
        <f>COUNTIFS(Table18[iataAirportCode],"="&amp;Table18[[#This Row],[iataAirportCode]])</f>
        <v>1</v>
      </c>
      <c r="F173" t="b">
        <f>ISBLANK(Table18[[#This Row],[gmtOffset]])</f>
        <v>0</v>
      </c>
      <c r="G173" t="str">
        <f>IF(AND(Table18[[#This Row],[isblank]]=TRUE,Table18[[#This Row],[count]]&gt;1),"delete","")</f>
        <v/>
      </c>
      <c r="H173" s="2"/>
      <c r="I173" s="2">
        <f>IF(ISBLANK(Table18[[#This Row],[gmtOffset]]),Table18[[#This Row],[utcOffsetLookup]],Table18[[#This Row],[gmtOffset]])</f>
        <v>-7</v>
      </c>
      <c r="J173" s="2"/>
    </row>
    <row r="174" spans="1:10" x14ac:dyDescent="0.3">
      <c r="A174" t="s">
        <v>2899</v>
      </c>
      <c r="B174" s="34" t="str">
        <f>IF(Table18[[#This Row],[gmtOffset]]&gt;0,"+",IF(Table18[[#This Row],[gmtOffset]]=0,"","-"))</f>
        <v>-</v>
      </c>
      <c r="C174">
        <v>-5</v>
      </c>
      <c r="D174" s="35">
        <f>Table18[[#This Row],[gmtOffset]]/24</f>
        <v>-0.20833333333333334</v>
      </c>
      <c r="E174">
        <f>COUNTIFS(Table18[iataAirportCode],"="&amp;Table18[[#This Row],[iataAirportCode]])</f>
        <v>1</v>
      </c>
      <c r="F174" t="b">
        <f>ISBLANK(Table18[[#This Row],[gmtOffset]])</f>
        <v>0</v>
      </c>
      <c r="G174" t="str">
        <f>IF(AND(Table18[[#This Row],[isblank]]=TRUE,Table18[[#This Row],[count]]&gt;1),"delete","")</f>
        <v/>
      </c>
      <c r="H174" s="2"/>
      <c r="I174" s="2">
        <f>IF(ISBLANK(Table18[[#This Row],[gmtOffset]]),Table18[[#This Row],[utcOffsetLookup]],Table18[[#This Row],[gmtOffset]])</f>
        <v>-5</v>
      </c>
      <c r="J174" s="2"/>
    </row>
    <row r="175" spans="1:10" x14ac:dyDescent="0.3">
      <c r="A175" t="s">
        <v>3080</v>
      </c>
      <c r="B175" s="34" t="str">
        <f>IF(Table18[[#This Row],[gmtOffset]]&gt;0,"+",IF(Table18[[#This Row],[gmtOffset]]=0,"","-"))</f>
        <v>-</v>
      </c>
      <c r="C175">
        <v>-8</v>
      </c>
      <c r="D175" s="35">
        <f>Table18[[#This Row],[gmtOffset]]/24</f>
        <v>-0.33333333333333331</v>
      </c>
      <c r="E175">
        <f>COUNTIFS(Table18[iataAirportCode],"="&amp;Table18[[#This Row],[iataAirportCode]])</f>
        <v>1</v>
      </c>
      <c r="F175" t="b">
        <f>ISBLANK(Table18[[#This Row],[gmtOffset]])</f>
        <v>0</v>
      </c>
      <c r="G175" t="str">
        <f>IF(AND(Table18[[#This Row],[isblank]]=TRUE,Table18[[#This Row],[count]]&gt;1),"delete","")</f>
        <v/>
      </c>
      <c r="H175" s="2"/>
      <c r="I175" s="2">
        <f>IF(ISBLANK(Table18[[#This Row],[gmtOffset]]),Table18[[#This Row],[utcOffsetLookup]],Table18[[#This Row],[gmtOffset]])</f>
        <v>-8</v>
      </c>
      <c r="J175" s="2"/>
    </row>
    <row r="176" spans="1:10" x14ac:dyDescent="0.3">
      <c r="A176" t="s">
        <v>2816</v>
      </c>
      <c r="B176" s="34" t="str">
        <f>IF(Table18[[#This Row],[gmtOffset]]&gt;0,"+",IF(Table18[[#This Row],[gmtOffset]]=0,"","-"))</f>
        <v>-</v>
      </c>
      <c r="C176">
        <v>-7</v>
      </c>
      <c r="D176" s="35">
        <f>Table18[[#This Row],[gmtOffset]]/24</f>
        <v>-0.29166666666666669</v>
      </c>
      <c r="E176">
        <f>COUNTIFS(Table18[iataAirportCode],"="&amp;Table18[[#This Row],[iataAirportCode]])</f>
        <v>1</v>
      </c>
      <c r="F176" t="b">
        <f>ISBLANK(Table18[[#This Row],[gmtOffset]])</f>
        <v>0</v>
      </c>
      <c r="G176" t="str">
        <f>IF(AND(Table18[[#This Row],[isblank]]=TRUE,Table18[[#This Row],[count]]&gt;1),"delete","")</f>
        <v/>
      </c>
      <c r="H176" s="2"/>
      <c r="I176" s="2">
        <f>IF(ISBLANK(Table18[[#This Row],[gmtOffset]]),Table18[[#This Row],[utcOffsetLookup]],Table18[[#This Row],[gmtOffset]])</f>
        <v>-7</v>
      </c>
      <c r="J176" s="2"/>
    </row>
    <row r="177" spans="1:10" x14ac:dyDescent="0.3">
      <c r="A177" t="s">
        <v>133</v>
      </c>
      <c r="B177" s="34" t="str">
        <f>IF(Table18[[#This Row],[gmtOffset]]&gt;0,"+",IF(Table18[[#This Row],[gmtOffset]]=0,"","-"))</f>
        <v>-</v>
      </c>
      <c r="C177">
        <v>-6</v>
      </c>
      <c r="D177" s="35">
        <f>Table18[[#This Row],[gmtOffset]]/24</f>
        <v>-0.25</v>
      </c>
      <c r="E177">
        <f>COUNTIFS(Table18[iataAirportCode],"="&amp;Table18[[#This Row],[iataAirportCode]])</f>
        <v>1</v>
      </c>
      <c r="F177" t="b">
        <f>ISBLANK(Table18[[#This Row],[gmtOffset]])</f>
        <v>0</v>
      </c>
      <c r="G177" t="str">
        <f>IF(AND(Table18[[#This Row],[isblank]]=TRUE,Table18[[#This Row],[count]]&gt;1),"delete","")</f>
        <v/>
      </c>
      <c r="H177" s="2"/>
      <c r="I177" s="2">
        <f>IF(ISBLANK(Table18[[#This Row],[gmtOffset]]),Table18[[#This Row],[utcOffsetLookup]],Table18[[#This Row],[gmtOffset]])</f>
        <v>-6</v>
      </c>
      <c r="J177" s="2"/>
    </row>
    <row r="178" spans="1:10" x14ac:dyDescent="0.3">
      <c r="A178" t="s">
        <v>2998</v>
      </c>
      <c r="B178" s="34" t="str">
        <f>IF(Table18[[#This Row],[gmtOffset]]&gt;0,"+",IF(Table18[[#This Row],[gmtOffset]]=0,"","-"))</f>
        <v>-</v>
      </c>
      <c r="C178">
        <v>-8</v>
      </c>
      <c r="D178" s="35">
        <f>Table18[[#This Row],[gmtOffset]]/24</f>
        <v>-0.33333333333333331</v>
      </c>
      <c r="E178">
        <f>COUNTIFS(Table18[iataAirportCode],"="&amp;Table18[[#This Row],[iataAirportCode]])</f>
        <v>1</v>
      </c>
      <c r="F178" t="b">
        <f>ISBLANK(Table18[[#This Row],[gmtOffset]])</f>
        <v>0</v>
      </c>
      <c r="G178" t="str">
        <f>IF(AND(Table18[[#This Row],[isblank]]=TRUE,Table18[[#This Row],[count]]&gt;1),"delete","")</f>
        <v/>
      </c>
      <c r="H178" s="2"/>
      <c r="I178" s="2">
        <f>IF(ISBLANK(Table18[[#This Row],[gmtOffset]]),Table18[[#This Row],[utcOffsetLookup]],Table18[[#This Row],[gmtOffset]])</f>
        <v>-8</v>
      </c>
      <c r="J178" s="2"/>
    </row>
    <row r="179" spans="1:10" x14ac:dyDescent="0.3">
      <c r="A179" t="s">
        <v>264</v>
      </c>
      <c r="B179" s="34" t="str">
        <f>IF(Table18[[#This Row],[gmtOffset]]&gt;0,"+",IF(Table18[[#This Row],[gmtOffset]]=0,"","-"))</f>
        <v>-</v>
      </c>
      <c r="C179">
        <v>-8</v>
      </c>
      <c r="D179" s="35">
        <f>Table18[[#This Row],[gmtOffset]]/24</f>
        <v>-0.33333333333333331</v>
      </c>
      <c r="E179">
        <f>COUNTIFS(Table18[iataAirportCode],"="&amp;Table18[[#This Row],[iataAirportCode]])</f>
        <v>1</v>
      </c>
      <c r="F179" t="b">
        <f>ISBLANK(Table18[[#This Row],[gmtOffset]])</f>
        <v>0</v>
      </c>
      <c r="G179" t="str">
        <f>IF(AND(Table18[[#This Row],[isblank]]=TRUE,Table18[[#This Row],[count]]&gt;1),"delete","")</f>
        <v/>
      </c>
      <c r="H179" s="2"/>
      <c r="I179" s="2">
        <f>IF(ISBLANK(Table18[[#This Row],[gmtOffset]]),Table18[[#This Row],[utcOffsetLookup]],Table18[[#This Row],[gmtOffset]])</f>
        <v>-8</v>
      </c>
      <c r="J179" s="2"/>
    </row>
    <row r="180" spans="1:10" x14ac:dyDescent="0.3">
      <c r="A180" t="s">
        <v>3014</v>
      </c>
      <c r="B180" s="34" t="str">
        <f>IF(Table18[[#This Row],[gmtOffset]]&gt;0,"+",IF(Table18[[#This Row],[gmtOffset]]=0,"","-"))</f>
        <v>-</v>
      </c>
      <c r="C180">
        <v>-8</v>
      </c>
      <c r="D180" s="35">
        <f>Table18[[#This Row],[gmtOffset]]/24</f>
        <v>-0.33333333333333331</v>
      </c>
      <c r="E180">
        <f>COUNTIFS(Table18[iataAirportCode],"="&amp;Table18[[#This Row],[iataAirportCode]])</f>
        <v>1</v>
      </c>
      <c r="F180" t="b">
        <f>ISBLANK(Table18[[#This Row],[gmtOffset]])</f>
        <v>0</v>
      </c>
      <c r="G180" t="str">
        <f>IF(AND(Table18[[#This Row],[isblank]]=TRUE,Table18[[#This Row],[count]]&gt;1),"delete","")</f>
        <v/>
      </c>
      <c r="H180" s="2"/>
      <c r="I180" s="2">
        <f>IF(ISBLANK(Table18[[#This Row],[gmtOffset]]),Table18[[#This Row],[utcOffsetLookup]],Table18[[#This Row],[gmtOffset]])</f>
        <v>-8</v>
      </c>
      <c r="J180" s="2"/>
    </row>
    <row r="181" spans="1:10" x14ac:dyDescent="0.3">
      <c r="A181" t="s">
        <v>3128</v>
      </c>
      <c r="B181" s="34" t="str">
        <f>IF(Table18[[#This Row],[gmtOffset]]&gt;0,"+",IF(Table18[[#This Row],[gmtOffset]]=0,"","-"))</f>
        <v>-</v>
      </c>
      <c r="C181">
        <v>-8</v>
      </c>
      <c r="D181" s="35">
        <f>Table18[[#This Row],[gmtOffset]]/24</f>
        <v>-0.33333333333333331</v>
      </c>
      <c r="E181">
        <f>COUNTIFS(Table18[iataAirportCode],"="&amp;Table18[[#This Row],[iataAirportCode]])</f>
        <v>1</v>
      </c>
      <c r="F181" t="b">
        <f>ISBLANK(Table18[[#This Row],[gmtOffset]])</f>
        <v>0</v>
      </c>
      <c r="G181" t="str">
        <f>IF(AND(Table18[[#This Row],[isblank]]=TRUE,Table18[[#This Row],[count]]&gt;1),"delete","")</f>
        <v/>
      </c>
      <c r="H181" s="2"/>
      <c r="I181" s="2">
        <f>IF(ISBLANK(Table18[[#This Row],[gmtOffset]]),Table18[[#This Row],[utcOffsetLookup]],Table18[[#This Row],[gmtOffset]])</f>
        <v>-8</v>
      </c>
      <c r="J181" s="2"/>
    </row>
    <row r="182" spans="1:10" x14ac:dyDescent="0.3">
      <c r="A182" t="s">
        <v>2853</v>
      </c>
      <c r="B182" s="34" t="str">
        <f>IF(Table18[[#This Row],[gmtOffset]]&gt;0,"+",IF(Table18[[#This Row],[gmtOffset]]=0,"","-"))</f>
        <v>-</v>
      </c>
      <c r="C182">
        <v>-8</v>
      </c>
      <c r="D182" s="35">
        <f>Table18[[#This Row],[gmtOffset]]/24</f>
        <v>-0.33333333333333331</v>
      </c>
      <c r="E182">
        <f>COUNTIFS(Table18[iataAirportCode],"="&amp;Table18[[#This Row],[iataAirportCode]])</f>
        <v>1</v>
      </c>
      <c r="F182" t="b">
        <f>ISBLANK(Table18[[#This Row],[gmtOffset]])</f>
        <v>0</v>
      </c>
      <c r="G182" t="str">
        <f>IF(AND(Table18[[#This Row],[isblank]]=TRUE,Table18[[#This Row],[count]]&gt;1),"delete","")</f>
        <v/>
      </c>
      <c r="H182" s="2"/>
      <c r="I182" s="2">
        <f>IF(ISBLANK(Table18[[#This Row],[gmtOffset]]),Table18[[#This Row],[utcOffsetLookup]],Table18[[#This Row],[gmtOffset]])</f>
        <v>-8</v>
      </c>
      <c r="J182" s="2"/>
    </row>
    <row r="183" spans="1:10" x14ac:dyDescent="0.3">
      <c r="A183" t="s">
        <v>2948</v>
      </c>
      <c r="B183" s="34" t="str">
        <f>IF(Table18[[#This Row],[gmtOffset]]&gt;0,"+",IF(Table18[[#This Row],[gmtOffset]]=0,"","-"))</f>
        <v>-</v>
      </c>
      <c r="C183">
        <v>-6</v>
      </c>
      <c r="D183" s="35">
        <f>Table18[[#This Row],[gmtOffset]]/24</f>
        <v>-0.25</v>
      </c>
      <c r="E183">
        <f>COUNTIFS(Table18[iataAirportCode],"="&amp;Table18[[#This Row],[iataAirportCode]])</f>
        <v>1</v>
      </c>
      <c r="F183" t="b">
        <f>ISBLANK(Table18[[#This Row],[gmtOffset]])</f>
        <v>0</v>
      </c>
      <c r="G183" t="str">
        <f>IF(AND(Table18[[#This Row],[isblank]]=TRUE,Table18[[#This Row],[count]]&gt;1),"delete","")</f>
        <v/>
      </c>
      <c r="H183" s="2"/>
      <c r="I183" s="2">
        <f>IF(ISBLANK(Table18[[#This Row],[gmtOffset]]),Table18[[#This Row],[utcOffsetLookup]],Table18[[#This Row],[gmtOffset]])</f>
        <v>-6</v>
      </c>
      <c r="J183" s="2"/>
    </row>
    <row r="184" spans="1:10" x14ac:dyDescent="0.3">
      <c r="A184" t="s">
        <v>2918</v>
      </c>
      <c r="B184" s="34" t="str">
        <f>IF(Table18[[#This Row],[gmtOffset]]&gt;0,"+",IF(Table18[[#This Row],[gmtOffset]]=0,"","-"))</f>
        <v>-</v>
      </c>
      <c r="C184">
        <v>-5</v>
      </c>
      <c r="D184" s="35">
        <f>Table18[[#This Row],[gmtOffset]]/24</f>
        <v>-0.20833333333333334</v>
      </c>
      <c r="E184">
        <f>COUNTIFS(Table18[iataAirportCode],"="&amp;Table18[[#This Row],[iataAirportCode]])</f>
        <v>1</v>
      </c>
      <c r="F184" t="b">
        <f>ISBLANK(Table18[[#This Row],[gmtOffset]])</f>
        <v>0</v>
      </c>
      <c r="G184" t="str">
        <f>IF(AND(Table18[[#This Row],[isblank]]=TRUE,Table18[[#This Row],[count]]&gt;1),"delete","")</f>
        <v/>
      </c>
      <c r="H184" s="2"/>
      <c r="I184" s="2">
        <f>IF(ISBLANK(Table18[[#This Row],[gmtOffset]]),Table18[[#This Row],[utcOffsetLookup]],Table18[[#This Row],[gmtOffset]])</f>
        <v>-5</v>
      </c>
      <c r="J184" s="2"/>
    </row>
    <row r="185" spans="1:10" x14ac:dyDescent="0.3">
      <c r="A185" t="s">
        <v>2989</v>
      </c>
      <c r="B185" s="34" t="str">
        <f>IF(Table18[[#This Row],[gmtOffset]]&gt;0,"+",IF(Table18[[#This Row],[gmtOffset]]=0,"","-"))</f>
        <v>-</v>
      </c>
      <c r="C185">
        <v>-5</v>
      </c>
      <c r="D185" s="35">
        <f>Table18[[#This Row],[gmtOffset]]/24</f>
        <v>-0.20833333333333334</v>
      </c>
      <c r="E185">
        <f>COUNTIFS(Table18[iataAirportCode],"="&amp;Table18[[#This Row],[iataAirportCode]])</f>
        <v>1</v>
      </c>
      <c r="F185" t="b">
        <f>ISBLANK(Table18[[#This Row],[gmtOffset]])</f>
        <v>0</v>
      </c>
      <c r="G185" t="str">
        <f>IF(AND(Table18[[#This Row],[isblank]]=TRUE,Table18[[#This Row],[count]]&gt;1),"delete","")</f>
        <v/>
      </c>
      <c r="H185" s="2"/>
      <c r="I185" s="2">
        <f>IF(ISBLANK(Table18[[#This Row],[gmtOffset]]),Table18[[#This Row],[utcOffsetLookup]],Table18[[#This Row],[gmtOffset]])</f>
        <v>-5</v>
      </c>
      <c r="J185" s="2"/>
    </row>
    <row r="186" spans="1:10" x14ac:dyDescent="0.3">
      <c r="A186" t="s">
        <v>2295</v>
      </c>
      <c r="B186" s="34" t="str">
        <f>IF(Table18[[#This Row],[gmtOffset]]&gt;0,"+",IF(Table18[[#This Row],[gmtOffset]]=0,"","-"))</f>
        <v>-</v>
      </c>
      <c r="C186">
        <v>-4</v>
      </c>
      <c r="D186" s="35">
        <f>Table18[[#This Row],[gmtOffset]]/24</f>
        <v>-0.16666666666666666</v>
      </c>
      <c r="E186">
        <f>COUNTIFS(Table18[iataAirportCode],"="&amp;Table18[[#This Row],[iataAirportCode]])</f>
        <v>1</v>
      </c>
      <c r="F186" t="b">
        <f>ISBLANK(Table18[[#This Row],[gmtOffset]])</f>
        <v>0</v>
      </c>
      <c r="G186" t="str">
        <f>IF(AND(Table18[[#This Row],[isblank]]=TRUE,Table18[[#This Row],[count]]&gt;1),"delete","")</f>
        <v/>
      </c>
      <c r="H186" s="2"/>
      <c r="I186" s="2">
        <f>IF(ISBLANK(Table18[[#This Row],[gmtOffset]]),Table18[[#This Row],[utcOffsetLookup]],Table18[[#This Row],[gmtOffset]])</f>
        <v>-4</v>
      </c>
      <c r="J186" s="2"/>
    </row>
    <row r="187" spans="1:10" x14ac:dyDescent="0.3">
      <c r="A187" t="s">
        <v>2293</v>
      </c>
      <c r="B187" s="34" t="str">
        <f>IF(Table18[[#This Row],[gmtOffset]]&gt;0,"+",IF(Table18[[#This Row],[gmtOffset]]=0,"","-"))</f>
        <v>-</v>
      </c>
      <c r="C187">
        <v>-4</v>
      </c>
      <c r="D187" s="35">
        <f>Table18[[#This Row],[gmtOffset]]/24</f>
        <v>-0.16666666666666666</v>
      </c>
      <c r="E187">
        <f>COUNTIFS(Table18[iataAirportCode],"="&amp;Table18[[#This Row],[iataAirportCode]])</f>
        <v>1</v>
      </c>
      <c r="F187" t="b">
        <f>ISBLANK(Table18[[#This Row],[gmtOffset]])</f>
        <v>0</v>
      </c>
      <c r="G187" t="str">
        <f>IF(AND(Table18[[#This Row],[isblank]]=TRUE,Table18[[#This Row],[count]]&gt;1),"delete","")</f>
        <v/>
      </c>
      <c r="H187" s="2"/>
      <c r="I187" s="2">
        <f>IF(ISBLANK(Table18[[#This Row],[gmtOffset]]),Table18[[#This Row],[utcOffsetLookup]],Table18[[#This Row],[gmtOffset]])</f>
        <v>-4</v>
      </c>
      <c r="J187" s="2"/>
    </row>
    <row r="188" spans="1:10" x14ac:dyDescent="0.3">
      <c r="A188" t="s">
        <v>2264</v>
      </c>
      <c r="B188" s="34" t="str">
        <f>IF(Table18[[#This Row],[gmtOffset]]&gt;0,"+",IF(Table18[[#This Row],[gmtOffset]]=0,"","-"))</f>
        <v>-</v>
      </c>
      <c r="C188">
        <v>-4</v>
      </c>
      <c r="D188" s="35">
        <f>Table18[[#This Row],[gmtOffset]]/24</f>
        <v>-0.16666666666666666</v>
      </c>
      <c r="E188">
        <f>COUNTIFS(Table18[iataAirportCode],"="&amp;Table18[[#This Row],[iataAirportCode]])</f>
        <v>1</v>
      </c>
      <c r="F188" t="b">
        <f>ISBLANK(Table18[[#This Row],[gmtOffset]])</f>
        <v>0</v>
      </c>
      <c r="G188" t="str">
        <f>IF(AND(Table18[[#This Row],[isblank]]=TRUE,Table18[[#This Row],[count]]&gt;1),"delete","")</f>
        <v/>
      </c>
      <c r="H188" s="2"/>
      <c r="I188" s="2">
        <f>IF(ISBLANK(Table18[[#This Row],[gmtOffset]]),Table18[[#This Row],[utcOffsetLookup]],Table18[[#This Row],[gmtOffset]])</f>
        <v>-4</v>
      </c>
      <c r="J188" s="2"/>
    </row>
    <row r="189" spans="1:10" x14ac:dyDescent="0.3">
      <c r="A189" t="s">
        <v>157</v>
      </c>
      <c r="B189" s="34" t="str">
        <f>IF(Table18[[#This Row],[gmtOffset]]&gt;0,"+",IF(Table18[[#This Row],[gmtOffset]]=0,"","-"))</f>
        <v/>
      </c>
      <c r="C189">
        <v>0</v>
      </c>
      <c r="D189" s="35">
        <f>Table18[[#This Row],[gmtOffset]]/24</f>
        <v>0</v>
      </c>
      <c r="E189" s="2">
        <f>COUNTIFS(Table18[iataAirportCode],"="&amp;Table18[[#This Row],[iataAirportCode]])</f>
        <v>1</v>
      </c>
      <c r="F189" s="2" t="b">
        <f>ISBLANK(Table18[[#This Row],[gmtOffset]])</f>
        <v>0</v>
      </c>
      <c r="G189" s="2" t="str">
        <f>IF(AND(Table18[[#This Row],[isblank]]=TRUE,Table18[[#This Row],[count]]&gt;1),"delete","")</f>
        <v/>
      </c>
      <c r="H189" s="2"/>
      <c r="I189" s="2">
        <f>IF(ISBLANK(Table18[[#This Row],[gmtOffset]]),Table18[[#This Row],[utcOffsetLookup]],Table18[[#This Row],[gmtOffset]])</f>
        <v>0</v>
      </c>
      <c r="J189" s="2"/>
    </row>
    <row r="190" spans="1:10" x14ac:dyDescent="0.3">
      <c r="A190" t="s">
        <v>158</v>
      </c>
      <c r="B190" s="34" t="str">
        <f>IF(Table18[[#This Row],[gmtOffset]]&gt;0,"+",IF(Table18[[#This Row],[gmtOffset]]=0,"","-"))</f>
        <v/>
      </c>
      <c r="C190">
        <v>0</v>
      </c>
      <c r="D190" s="35">
        <f>Table18[[#This Row],[gmtOffset]]/24</f>
        <v>0</v>
      </c>
      <c r="E190" s="2">
        <f>COUNTIFS(Table18[iataAirportCode],"="&amp;Table18[[#This Row],[iataAirportCode]])</f>
        <v>1</v>
      </c>
      <c r="F190" s="2" t="b">
        <f>ISBLANK(Table18[[#This Row],[gmtOffset]])</f>
        <v>0</v>
      </c>
      <c r="G190" s="2" t="str">
        <f>IF(AND(Table18[[#This Row],[isblank]]=TRUE,Table18[[#This Row],[count]]&gt;1),"delete","")</f>
        <v/>
      </c>
      <c r="H190" s="2"/>
      <c r="I190" s="2">
        <f>IF(ISBLANK(Table18[[#This Row],[gmtOffset]]),Table18[[#This Row],[utcOffsetLookup]],Table18[[#This Row],[gmtOffset]])</f>
        <v>0</v>
      </c>
      <c r="J190" s="2"/>
    </row>
    <row r="191" spans="1:10" x14ac:dyDescent="0.3">
      <c r="A191" t="s">
        <v>159</v>
      </c>
      <c r="B191" s="34" t="str">
        <f>IF(Table18[[#This Row],[gmtOffset]]&gt;0,"+",IF(Table18[[#This Row],[gmtOffset]]=0,"","-"))</f>
        <v/>
      </c>
      <c r="C191">
        <v>0</v>
      </c>
      <c r="D191" s="35">
        <f>Table18[[#This Row],[gmtOffset]]/24</f>
        <v>0</v>
      </c>
      <c r="E191" s="2">
        <f>COUNTIFS(Table18[iataAirportCode],"="&amp;Table18[[#This Row],[iataAirportCode]])</f>
        <v>1</v>
      </c>
      <c r="F191" s="2" t="b">
        <f>ISBLANK(Table18[[#This Row],[gmtOffset]])</f>
        <v>0</v>
      </c>
      <c r="G191" s="2" t="str">
        <f>IF(AND(Table18[[#This Row],[isblank]]=TRUE,Table18[[#This Row],[count]]&gt;1),"delete","")</f>
        <v/>
      </c>
      <c r="H191" s="2"/>
      <c r="I191" s="2">
        <f>IF(ISBLANK(Table18[[#This Row],[gmtOffset]]),Table18[[#This Row],[utcOffsetLookup]],Table18[[#This Row],[gmtOffset]])</f>
        <v>0</v>
      </c>
      <c r="J191" s="2"/>
    </row>
    <row r="192" spans="1:10" x14ac:dyDescent="0.3">
      <c r="A192" t="s">
        <v>208</v>
      </c>
      <c r="B192" s="34" t="str">
        <f>IF(Table18[[#This Row],[gmtOffset]]&gt;0,"+",IF(Table18[[#This Row],[gmtOffset]]=0,"","-"))</f>
        <v>+</v>
      </c>
      <c r="C192">
        <v>2</v>
      </c>
      <c r="D192" s="35">
        <f>Table18[[#This Row],[gmtOffset]]/24</f>
        <v>8.3333333333333329E-2</v>
      </c>
      <c r="E192" s="2">
        <f>COUNTIFS(Table18[iataAirportCode],"="&amp;Table18[[#This Row],[iataAirportCode]])</f>
        <v>1</v>
      </c>
      <c r="F192" s="2" t="b">
        <f>ISBLANK(Table18[[#This Row],[gmtOffset]])</f>
        <v>0</v>
      </c>
      <c r="G192" s="2" t="str">
        <f>IF(AND(Table18[[#This Row],[isblank]]=TRUE,Table18[[#This Row],[count]]&gt;1),"delete","")</f>
        <v/>
      </c>
      <c r="H192" s="2"/>
      <c r="I192" s="2">
        <f>IF(ISBLANK(Table18[[#This Row],[gmtOffset]]),Table18[[#This Row],[utcOffsetLookup]],Table18[[#This Row],[gmtOffset]])</f>
        <v>2</v>
      </c>
      <c r="J192" s="2"/>
    </row>
    <row r="193" spans="1:10" x14ac:dyDescent="0.3">
      <c r="A193" t="s">
        <v>213</v>
      </c>
      <c r="B193" s="34" t="str">
        <f>IF(Table18[[#This Row],[gmtOffset]]&gt;0,"+",IF(Table18[[#This Row],[gmtOffset]]=0,"","-"))</f>
        <v>+</v>
      </c>
      <c r="C193">
        <v>1</v>
      </c>
      <c r="D193" s="35">
        <f>Table18[[#This Row],[gmtOffset]]/24</f>
        <v>4.1666666666666664E-2</v>
      </c>
      <c r="E193" s="2">
        <f>COUNTIFS(Table18[iataAirportCode],"="&amp;Table18[[#This Row],[iataAirportCode]])</f>
        <v>1</v>
      </c>
      <c r="F193" s="2" t="b">
        <f>ISBLANK(Table18[[#This Row],[gmtOffset]])</f>
        <v>0</v>
      </c>
      <c r="G193" s="2" t="str">
        <f>IF(AND(Table18[[#This Row],[isblank]]=TRUE,Table18[[#This Row],[count]]&gt;1),"delete","")</f>
        <v/>
      </c>
      <c r="H193" s="2"/>
      <c r="I193" s="2">
        <f>IF(ISBLANK(Table18[[#This Row],[gmtOffset]]),Table18[[#This Row],[utcOffsetLookup]],Table18[[#This Row],[gmtOffset]])</f>
        <v>1</v>
      </c>
      <c r="J193" s="2"/>
    </row>
    <row r="194" spans="1:10" x14ac:dyDescent="0.3">
      <c r="A194" t="s">
        <v>214</v>
      </c>
      <c r="B194" s="34" t="str">
        <f>IF(Table18[[#This Row],[gmtOffset]]&gt;0,"+",IF(Table18[[#This Row],[gmtOffset]]=0,"","-"))</f>
        <v>+</v>
      </c>
      <c r="C194">
        <v>2</v>
      </c>
      <c r="D194" s="35">
        <f>Table18[[#This Row],[gmtOffset]]/24</f>
        <v>8.3333333333333329E-2</v>
      </c>
      <c r="E194" s="2">
        <f>COUNTIFS(Table18[iataAirportCode],"="&amp;Table18[[#This Row],[iataAirportCode]])</f>
        <v>1</v>
      </c>
      <c r="F194" s="2" t="b">
        <f>ISBLANK(Table18[[#This Row],[gmtOffset]])</f>
        <v>0</v>
      </c>
      <c r="G194" s="2" t="str">
        <f>IF(AND(Table18[[#This Row],[isblank]]=TRUE,Table18[[#This Row],[count]]&gt;1),"delete","")</f>
        <v/>
      </c>
      <c r="H194" s="2"/>
      <c r="I194" s="2">
        <f>IF(ISBLANK(Table18[[#This Row],[gmtOffset]]),Table18[[#This Row],[utcOffsetLookup]],Table18[[#This Row],[gmtOffset]])</f>
        <v>2</v>
      </c>
      <c r="J194" s="2"/>
    </row>
    <row r="195" spans="1:10" x14ac:dyDescent="0.3">
      <c r="A195" t="s">
        <v>215</v>
      </c>
      <c r="B195" s="34" t="str">
        <f>IF(Table18[[#This Row],[gmtOffset]]&gt;0,"+",IF(Table18[[#This Row],[gmtOffset]]=0,"","-"))</f>
        <v>+</v>
      </c>
      <c r="C195">
        <v>3</v>
      </c>
      <c r="D195" s="35">
        <f>Table18[[#This Row],[gmtOffset]]/24</f>
        <v>0.125</v>
      </c>
      <c r="E195" s="2">
        <f>COUNTIFS(Table18[iataAirportCode],"="&amp;Table18[[#This Row],[iataAirportCode]])</f>
        <v>1</v>
      </c>
      <c r="F195" s="2" t="b">
        <f>ISBLANK(Table18[[#This Row],[gmtOffset]])</f>
        <v>0</v>
      </c>
      <c r="G195" s="2" t="str">
        <f>IF(AND(Table18[[#This Row],[isblank]]=TRUE,Table18[[#This Row],[count]]&gt;1),"delete","")</f>
        <v/>
      </c>
      <c r="H195" s="2"/>
      <c r="I195" s="2">
        <f>IF(ISBLANK(Table18[[#This Row],[gmtOffset]]),Table18[[#This Row],[utcOffsetLookup]],Table18[[#This Row],[gmtOffset]])</f>
        <v>3</v>
      </c>
      <c r="J195" s="2"/>
    </row>
    <row r="196" spans="1:10" x14ac:dyDescent="0.3">
      <c r="A196" t="s">
        <v>224</v>
      </c>
      <c r="B196" s="34" t="str">
        <f>IF(Table18[[#This Row],[gmtOffset]]&gt;0,"+",IF(Table18[[#This Row],[gmtOffset]]=0,"","-"))</f>
        <v>+</v>
      </c>
      <c r="C196">
        <v>5.5</v>
      </c>
      <c r="D196" s="35">
        <f>Table18[[#This Row],[gmtOffset]]/24</f>
        <v>0.22916666666666666</v>
      </c>
      <c r="E196" s="2">
        <f>COUNTIFS(Table18[iataAirportCode],"="&amp;Table18[[#This Row],[iataAirportCode]])</f>
        <v>1</v>
      </c>
      <c r="F196" s="2" t="b">
        <f>ISBLANK(Table18[[#This Row],[gmtOffset]])</f>
        <v>0</v>
      </c>
      <c r="G196" s="2" t="str">
        <f>IF(AND(Table18[[#This Row],[isblank]]=TRUE,Table18[[#This Row],[count]]&gt;1),"delete","")</f>
        <v/>
      </c>
      <c r="H196" s="2"/>
      <c r="I196" s="2">
        <f>IF(ISBLANK(Table18[[#This Row],[gmtOffset]]),Table18[[#This Row],[utcOffsetLookup]],Table18[[#This Row],[gmtOffset]])</f>
        <v>5.5</v>
      </c>
      <c r="J196" s="2"/>
    </row>
    <row r="197" spans="1:10" x14ac:dyDescent="0.3">
      <c r="A197" t="s">
        <v>233</v>
      </c>
      <c r="B197" s="34" t="str">
        <f>IF(Table18[[#This Row],[gmtOffset]]&gt;0,"+",IF(Table18[[#This Row],[gmtOffset]]=0,"","-"))</f>
        <v>+</v>
      </c>
      <c r="C197">
        <v>4</v>
      </c>
      <c r="D197" s="35">
        <f>Table18[[#This Row],[gmtOffset]]/24</f>
        <v>0.16666666666666666</v>
      </c>
      <c r="E197" s="2">
        <f>COUNTIFS(Table18[iataAirportCode],"="&amp;Table18[[#This Row],[iataAirportCode]])</f>
        <v>1</v>
      </c>
      <c r="F197" s="2" t="b">
        <f>ISBLANK(Table18[[#This Row],[gmtOffset]])</f>
        <v>0</v>
      </c>
      <c r="G197" s="2" t="str">
        <f>IF(AND(Table18[[#This Row],[isblank]]=TRUE,Table18[[#This Row],[count]]&gt;1),"delete","")</f>
        <v/>
      </c>
      <c r="H197" s="2"/>
      <c r="I197" s="2">
        <f>IF(ISBLANK(Table18[[#This Row],[gmtOffset]]),Table18[[#This Row],[utcOffsetLookup]],Table18[[#This Row],[gmtOffset]])</f>
        <v>4</v>
      </c>
      <c r="J197" s="2"/>
    </row>
    <row r="198" spans="1:10" x14ac:dyDescent="0.3">
      <c r="A198" t="s">
        <v>234</v>
      </c>
      <c r="B198" s="34" t="str">
        <f>IF(Table18[[#This Row],[gmtOffset]]&gt;0,"+",IF(Table18[[#This Row],[gmtOffset]]=0,"","-"))</f>
        <v>+</v>
      </c>
      <c r="C198">
        <v>2</v>
      </c>
      <c r="D198" s="35">
        <f>Table18[[#This Row],[gmtOffset]]/24</f>
        <v>8.3333333333333329E-2</v>
      </c>
      <c r="E198" s="2">
        <f>COUNTIFS(Table18[iataAirportCode],"="&amp;Table18[[#This Row],[iataAirportCode]])</f>
        <v>1</v>
      </c>
      <c r="F198" s="2" t="b">
        <f>ISBLANK(Table18[[#This Row],[gmtOffset]])</f>
        <v>0</v>
      </c>
      <c r="G198" s="2" t="str">
        <f>IF(AND(Table18[[#This Row],[isblank]]=TRUE,Table18[[#This Row],[count]]&gt;1),"delete","")</f>
        <v/>
      </c>
      <c r="H198" s="2"/>
      <c r="I198" s="2">
        <f>IF(ISBLANK(Table18[[#This Row],[gmtOffset]]),Table18[[#This Row],[utcOffsetLookup]],Table18[[#This Row],[gmtOffset]])</f>
        <v>2</v>
      </c>
      <c r="J198" s="2"/>
    </row>
    <row r="199" spans="1:10" x14ac:dyDescent="0.3">
      <c r="A199" t="s">
        <v>238</v>
      </c>
      <c r="B199" s="34" t="str">
        <f>IF(Table18[[#This Row],[gmtOffset]]&gt;0,"+",IF(Table18[[#This Row],[gmtOffset]]=0,"","-"))</f>
        <v>+</v>
      </c>
      <c r="C199">
        <v>2</v>
      </c>
      <c r="D199" s="35">
        <f>Table18[[#This Row],[gmtOffset]]/24</f>
        <v>8.3333333333333329E-2</v>
      </c>
      <c r="E199" s="2">
        <f>COUNTIFS(Table18[iataAirportCode],"="&amp;Table18[[#This Row],[iataAirportCode]])</f>
        <v>1</v>
      </c>
      <c r="F199" s="2" t="b">
        <f>ISBLANK(Table18[[#This Row],[gmtOffset]])</f>
        <v>0</v>
      </c>
      <c r="G199" s="2" t="str">
        <f>IF(AND(Table18[[#This Row],[isblank]]=TRUE,Table18[[#This Row],[count]]&gt;1),"delete","")</f>
        <v/>
      </c>
      <c r="H199" s="2"/>
      <c r="I199" s="2">
        <f>IF(ISBLANK(Table18[[#This Row],[gmtOffset]]),Table18[[#This Row],[utcOffsetLookup]],Table18[[#This Row],[gmtOffset]])</f>
        <v>2</v>
      </c>
      <c r="J199" s="2"/>
    </row>
    <row r="200" spans="1:10" x14ac:dyDescent="0.3">
      <c r="A200" t="s">
        <v>242</v>
      </c>
      <c r="B200" s="34" t="str">
        <f>IF(Table18[[#This Row],[gmtOffset]]&gt;0,"+",IF(Table18[[#This Row],[gmtOffset]]=0,"","-"))</f>
        <v>+</v>
      </c>
      <c r="C200">
        <v>3</v>
      </c>
      <c r="D200" s="35">
        <f>Table18[[#This Row],[gmtOffset]]/24</f>
        <v>0.125</v>
      </c>
      <c r="E200" s="2">
        <f>COUNTIFS(Table18[iataAirportCode],"="&amp;Table18[[#This Row],[iataAirportCode]])</f>
        <v>1</v>
      </c>
      <c r="F200" s="2" t="b">
        <f>ISBLANK(Table18[[#This Row],[gmtOffset]])</f>
        <v>0</v>
      </c>
      <c r="G200" s="2" t="str">
        <f>IF(AND(Table18[[#This Row],[isblank]]=TRUE,Table18[[#This Row],[count]]&gt;1),"delete","")</f>
        <v/>
      </c>
      <c r="H200" s="2"/>
      <c r="I200" s="2">
        <f>IF(ISBLANK(Table18[[#This Row],[gmtOffset]]),Table18[[#This Row],[utcOffsetLookup]],Table18[[#This Row],[gmtOffset]])</f>
        <v>3</v>
      </c>
      <c r="J200" s="2"/>
    </row>
    <row r="201" spans="1:10" x14ac:dyDescent="0.3">
      <c r="A201" t="s">
        <v>243</v>
      </c>
      <c r="B201" s="34" t="str">
        <f>IF(Table18[[#This Row],[gmtOffset]]&gt;0,"+",IF(Table18[[#This Row],[gmtOffset]]=0,"","-"))</f>
        <v>+</v>
      </c>
      <c r="C201">
        <v>3</v>
      </c>
      <c r="D201" s="35">
        <f>Table18[[#This Row],[gmtOffset]]/24</f>
        <v>0.125</v>
      </c>
      <c r="E201" s="2">
        <f>COUNTIFS(Table18[iataAirportCode],"="&amp;Table18[[#This Row],[iataAirportCode]])</f>
        <v>1</v>
      </c>
      <c r="F201" s="2" t="b">
        <f>ISBLANK(Table18[[#This Row],[gmtOffset]])</f>
        <v>0</v>
      </c>
      <c r="G201" s="2" t="str">
        <f>IF(AND(Table18[[#This Row],[isblank]]=TRUE,Table18[[#This Row],[count]]&gt;1),"delete","")</f>
        <v/>
      </c>
      <c r="H201" s="2"/>
      <c r="I201" s="2">
        <f>IF(ISBLANK(Table18[[#This Row],[gmtOffset]]),Table18[[#This Row],[utcOffsetLookup]],Table18[[#This Row],[gmtOffset]])</f>
        <v>3</v>
      </c>
      <c r="J201" s="2"/>
    </row>
    <row r="202" spans="1:10" x14ac:dyDescent="0.3">
      <c r="A202" t="s">
        <v>2006</v>
      </c>
      <c r="B202" s="34" t="str">
        <f>IF(Table18[[#This Row],[gmtOffset]]&gt;0,"+",IF(Table18[[#This Row],[gmtOffset]]=0,"","-"))</f>
        <v>-</v>
      </c>
      <c r="C202">
        <v>-3</v>
      </c>
      <c r="D202" s="35">
        <f>Table18[[#This Row],[gmtOffset]]/24</f>
        <v>-0.125</v>
      </c>
      <c r="E202" s="2">
        <f>COUNTIFS(Table18[iataAirportCode],"="&amp;Table18[[#This Row],[iataAirportCode]])</f>
        <v>1</v>
      </c>
      <c r="F202" s="2" t="b">
        <f>ISBLANK(Table18[[#This Row],[gmtOffset]])</f>
        <v>0</v>
      </c>
      <c r="G202" s="2" t="str">
        <f>IF(AND(Table18[[#This Row],[isblank]]=TRUE,Table18[[#This Row],[count]]&gt;1),"delete","")</f>
        <v/>
      </c>
      <c r="H202" s="2"/>
      <c r="I202" s="2">
        <f>IF(ISBLANK(Table18[[#This Row],[gmtOffset]]),Table18[[#This Row],[utcOffsetLookup]],Table18[[#This Row],[gmtOffset]])</f>
        <v>-3</v>
      </c>
      <c r="J202" s="2"/>
    </row>
    <row r="203" spans="1:10" x14ac:dyDescent="0.3">
      <c r="A203" t="s">
        <v>1417</v>
      </c>
      <c r="B203" s="34" t="str">
        <f>IF(Table18[[#This Row],[gmtOffset]]&gt;0,"+",IF(Table18[[#This Row],[gmtOffset]]=0,"","-"))</f>
        <v>+</v>
      </c>
      <c r="C203">
        <v>2</v>
      </c>
      <c r="D203" s="35">
        <f>Table18[[#This Row],[gmtOffset]]/24</f>
        <v>8.3333333333333329E-2</v>
      </c>
      <c r="E203" s="2">
        <f>COUNTIFS(Table18[iataAirportCode],"="&amp;Table18[[#This Row],[iataAirportCode]])</f>
        <v>1</v>
      </c>
      <c r="F203" s="2" t="b">
        <f>ISBLANK(Table18[[#This Row],[gmtOffset]])</f>
        <v>0</v>
      </c>
      <c r="G203" s="2" t="str">
        <f>IF(AND(Table18[[#This Row],[isblank]]=TRUE,Table18[[#This Row],[count]]&gt;1),"delete","")</f>
        <v/>
      </c>
      <c r="H203" s="2"/>
      <c r="I203" s="2">
        <f>IF(ISBLANK(Table18[[#This Row],[gmtOffset]]),Table18[[#This Row],[utcOffsetLookup]],Table18[[#This Row],[gmtOffset]])</f>
        <v>2</v>
      </c>
      <c r="J203" s="2"/>
    </row>
    <row r="204" spans="1:10" x14ac:dyDescent="0.3">
      <c r="A204" t="s">
        <v>1354</v>
      </c>
      <c r="B204" s="34" t="str">
        <f>IF(Table18[[#This Row],[gmtOffset]]&gt;0,"+",IF(Table18[[#This Row],[gmtOffset]]=0,"","-"))</f>
        <v>+</v>
      </c>
      <c r="C204">
        <v>2</v>
      </c>
      <c r="D204" s="35">
        <f>Table18[[#This Row],[gmtOffset]]/24</f>
        <v>8.3333333333333329E-2</v>
      </c>
      <c r="E204" s="2">
        <f>COUNTIFS(Table18[iataAirportCode],"="&amp;Table18[[#This Row],[iataAirportCode]])</f>
        <v>1</v>
      </c>
      <c r="F204" s="2" t="b">
        <f>ISBLANK(Table18[[#This Row],[gmtOffset]])</f>
        <v>0</v>
      </c>
      <c r="G204" s="2" t="str">
        <f>IF(AND(Table18[[#This Row],[isblank]]=TRUE,Table18[[#This Row],[count]]&gt;1),"delete","")</f>
        <v/>
      </c>
      <c r="H204" s="2"/>
      <c r="I204" s="2">
        <f>IF(ISBLANK(Table18[[#This Row],[gmtOffset]]),Table18[[#This Row],[utcOffsetLookup]],Table18[[#This Row],[gmtOffset]])</f>
        <v>2</v>
      </c>
      <c r="J204" s="2"/>
    </row>
    <row r="205" spans="1:10" x14ac:dyDescent="0.3">
      <c r="A205" t="s">
        <v>2365</v>
      </c>
      <c r="B205" s="34" t="str">
        <f>IF(Table18[[#This Row],[gmtOffset]]&gt;0,"+",IF(Table18[[#This Row],[gmtOffset]]=0,"","-"))</f>
        <v>+</v>
      </c>
      <c r="C205">
        <v>2</v>
      </c>
      <c r="D205" s="35">
        <f>Table18[[#This Row],[gmtOffset]]/24</f>
        <v>8.3333333333333329E-2</v>
      </c>
      <c r="E205" s="2">
        <f>COUNTIFS(Table18[iataAirportCode],"="&amp;Table18[[#This Row],[iataAirportCode]])</f>
        <v>1</v>
      </c>
      <c r="F205" s="2" t="b">
        <f>ISBLANK(Table18[[#This Row],[gmtOffset]])</f>
        <v>0</v>
      </c>
      <c r="G205" s="2" t="str">
        <f>IF(AND(Table18[[#This Row],[isblank]]=TRUE,Table18[[#This Row],[count]]&gt;1),"delete","")</f>
        <v/>
      </c>
      <c r="H205" s="2"/>
      <c r="I205" s="2">
        <f>IF(ISBLANK(Table18[[#This Row],[gmtOffset]]),Table18[[#This Row],[utcOffsetLookup]],Table18[[#This Row],[gmtOffset]])</f>
        <v>2</v>
      </c>
      <c r="J205" s="2"/>
    </row>
    <row r="206" spans="1:10" x14ac:dyDescent="0.3">
      <c r="A206" t="s">
        <v>924</v>
      </c>
      <c r="B206" s="34" t="str">
        <f>IF(Table18[[#This Row],[gmtOffset]]&gt;0,"+",IF(Table18[[#This Row],[gmtOffset]]=0,"","-"))</f>
        <v>+</v>
      </c>
      <c r="C206">
        <v>2</v>
      </c>
      <c r="D206" s="35">
        <f>Table18[[#This Row],[gmtOffset]]/24</f>
        <v>8.3333333333333329E-2</v>
      </c>
      <c r="E206" s="2">
        <f>COUNTIFS(Table18[iataAirportCode],"="&amp;Table18[[#This Row],[iataAirportCode]])</f>
        <v>1</v>
      </c>
      <c r="F206" s="2" t="b">
        <f>ISBLANK(Table18[[#This Row],[gmtOffset]])</f>
        <v>0</v>
      </c>
      <c r="G206" s="2" t="str">
        <f>IF(AND(Table18[[#This Row],[isblank]]=TRUE,Table18[[#This Row],[count]]&gt;1),"delete","")</f>
        <v/>
      </c>
      <c r="H206" s="2"/>
      <c r="I206" s="2">
        <f>IF(ISBLANK(Table18[[#This Row],[gmtOffset]]),Table18[[#This Row],[utcOffsetLookup]],Table18[[#This Row],[gmtOffset]])</f>
        <v>2</v>
      </c>
      <c r="J206" s="2"/>
    </row>
    <row r="207" spans="1:10" x14ac:dyDescent="0.3">
      <c r="A207" t="s">
        <v>2520</v>
      </c>
      <c r="B207" s="34" t="str">
        <f>IF(Table18[[#This Row],[gmtOffset]]&gt;0,"+",IF(Table18[[#This Row],[gmtOffset]]=0,"","-"))</f>
        <v>+</v>
      </c>
      <c r="C207">
        <v>5</v>
      </c>
      <c r="D207" s="35">
        <f>Table18[[#This Row],[gmtOffset]]/24</f>
        <v>0.20833333333333334</v>
      </c>
      <c r="E207" s="2">
        <f>COUNTIFS(Table18[iataAirportCode],"="&amp;Table18[[#This Row],[iataAirportCode]])</f>
        <v>1</v>
      </c>
      <c r="F207" s="2" t="b">
        <f>ISBLANK(Table18[[#This Row],[gmtOffset]])</f>
        <v>0</v>
      </c>
      <c r="G207" s="2" t="str">
        <f>IF(AND(Table18[[#This Row],[isblank]]=TRUE,Table18[[#This Row],[count]]&gt;1),"delete","")</f>
        <v/>
      </c>
      <c r="H207" s="2"/>
      <c r="I207" s="2">
        <f>IF(ISBLANK(Table18[[#This Row],[gmtOffset]]),Table18[[#This Row],[utcOffsetLookup]],Table18[[#This Row],[gmtOffset]])</f>
        <v>5</v>
      </c>
      <c r="J207" s="2"/>
    </row>
    <row r="208" spans="1:10" x14ac:dyDescent="0.3">
      <c r="A208" t="s">
        <v>1677</v>
      </c>
      <c r="B208" s="34" t="str">
        <f>IF(Table18[[#This Row],[gmtOffset]]&gt;0,"+",IF(Table18[[#This Row],[gmtOffset]]=0,"","-"))</f>
        <v>+</v>
      </c>
      <c r="C208">
        <v>5.5</v>
      </c>
      <c r="D208" s="35">
        <f>Table18[[#This Row],[gmtOffset]]/24</f>
        <v>0.22916666666666666</v>
      </c>
      <c r="E208" s="2">
        <f>COUNTIFS(Table18[iataAirportCode],"="&amp;Table18[[#This Row],[iataAirportCode]])</f>
        <v>1</v>
      </c>
      <c r="F208" s="2" t="b">
        <f>ISBLANK(Table18[[#This Row],[gmtOffset]])</f>
        <v>0</v>
      </c>
      <c r="G208" s="2" t="str">
        <f>IF(AND(Table18[[#This Row],[isblank]]=TRUE,Table18[[#This Row],[count]]&gt;1),"delete","")</f>
        <v/>
      </c>
      <c r="H208" s="2"/>
      <c r="I208" s="2">
        <f>IF(ISBLANK(Table18[[#This Row],[gmtOffset]]),Table18[[#This Row],[utcOffsetLookup]],Table18[[#This Row],[gmtOffset]])</f>
        <v>5.5</v>
      </c>
      <c r="J208" s="2"/>
    </row>
    <row r="209" spans="1:10" x14ac:dyDescent="0.3">
      <c r="A209" t="s">
        <v>2606</v>
      </c>
      <c r="B209" s="34" t="str">
        <f>IF(Table18[[#This Row],[gmtOffset]]&gt;0,"+",IF(Table18[[#This Row],[gmtOffset]]=0,"","-"))</f>
        <v>+</v>
      </c>
      <c r="C209">
        <v>8</v>
      </c>
      <c r="D209" s="35">
        <f>Table18[[#This Row],[gmtOffset]]/24</f>
        <v>0.33333333333333331</v>
      </c>
      <c r="E209" s="2">
        <f>COUNTIFS(Table18[iataAirportCode],"="&amp;Table18[[#This Row],[iataAirportCode]])</f>
        <v>1</v>
      </c>
      <c r="F209" s="2" t="b">
        <f>ISBLANK(Table18[[#This Row],[gmtOffset]])</f>
        <v>0</v>
      </c>
      <c r="G209" s="2" t="str">
        <f>IF(AND(Table18[[#This Row],[isblank]]=TRUE,Table18[[#This Row],[count]]&gt;1),"delete","")</f>
        <v/>
      </c>
      <c r="H209" s="2"/>
      <c r="I209" s="2">
        <f>IF(ISBLANK(Table18[[#This Row],[gmtOffset]]),Table18[[#This Row],[utcOffsetLookup]],Table18[[#This Row],[gmtOffset]])</f>
        <v>8</v>
      </c>
      <c r="J209" s="2"/>
    </row>
    <row r="210" spans="1:10" x14ac:dyDescent="0.3">
      <c r="A210" t="s">
        <v>3146</v>
      </c>
      <c r="B210" s="34" t="str">
        <f>IF(Table18[[#This Row],[gmtOffset]]&gt;0,"+",IF(Table18[[#This Row],[gmtOffset]]=0,"","-"))</f>
        <v>+</v>
      </c>
      <c r="C210">
        <v>7</v>
      </c>
      <c r="D210" s="35">
        <f>Table18[[#This Row],[gmtOffset]]/24</f>
        <v>0.29166666666666669</v>
      </c>
      <c r="E210" s="2">
        <f>COUNTIFS(Table18[iataAirportCode],"="&amp;Table18[[#This Row],[iataAirportCode]])</f>
        <v>1</v>
      </c>
      <c r="F210" s="2" t="b">
        <f>ISBLANK(Table18[[#This Row],[gmtOffset]])</f>
        <v>0</v>
      </c>
      <c r="G210" s="2" t="str">
        <f>IF(AND(Table18[[#This Row],[isblank]]=TRUE,Table18[[#This Row],[count]]&gt;1),"delete","")</f>
        <v/>
      </c>
      <c r="H210" s="2"/>
      <c r="I210" s="2">
        <f>IF(ISBLANK(Table18[[#This Row],[gmtOffset]]),Table18[[#This Row],[utcOffsetLookup]],Table18[[#This Row],[gmtOffset]])</f>
        <v>7</v>
      </c>
      <c r="J210" s="2"/>
    </row>
    <row r="211" spans="1:10" x14ac:dyDescent="0.3">
      <c r="A211" t="s">
        <v>2363</v>
      </c>
      <c r="B211" s="34" t="str">
        <f>IF(Table18[[#This Row],[gmtOffset]]&gt;0,"+",IF(Table18[[#This Row],[gmtOffset]]=0,"","-"))</f>
        <v>+</v>
      </c>
      <c r="C211">
        <v>5.5</v>
      </c>
      <c r="D211" s="35">
        <f>Table18[[#This Row],[gmtOffset]]/24</f>
        <v>0.22916666666666666</v>
      </c>
      <c r="E211" s="2">
        <f>COUNTIFS(Table18[iataAirportCode],"="&amp;Table18[[#This Row],[iataAirportCode]])</f>
        <v>1</v>
      </c>
      <c r="F211" s="2" t="b">
        <f>ISBLANK(Table18[[#This Row],[gmtOffset]])</f>
        <v>0</v>
      </c>
      <c r="G211" s="2" t="str">
        <f>IF(AND(Table18[[#This Row],[isblank]]=TRUE,Table18[[#This Row],[count]]&gt;1),"delete","")</f>
        <v/>
      </c>
      <c r="H211" s="2"/>
      <c r="I211" s="2">
        <f>IF(ISBLANK(Table18[[#This Row],[gmtOffset]]),Table18[[#This Row],[utcOffsetLookup]],Table18[[#This Row],[gmtOffset]])</f>
        <v>5.5</v>
      </c>
      <c r="J211" s="2"/>
    </row>
    <row r="212" spans="1:10" x14ac:dyDescent="0.3">
      <c r="A212" t="s">
        <v>2521</v>
      </c>
      <c r="B212" s="34" t="str">
        <f>IF(Table18[[#This Row],[gmtOffset]]&gt;0,"+",IF(Table18[[#This Row],[gmtOffset]]=0,"","-"))</f>
        <v>+</v>
      </c>
      <c r="C212">
        <v>7</v>
      </c>
      <c r="D212" s="35">
        <f>Table18[[#This Row],[gmtOffset]]/24</f>
        <v>0.29166666666666669</v>
      </c>
      <c r="E212" s="2">
        <f>COUNTIFS(Table18[iataAirportCode],"="&amp;Table18[[#This Row],[iataAirportCode]])</f>
        <v>1</v>
      </c>
      <c r="F212" s="2" t="b">
        <f>ISBLANK(Table18[[#This Row],[gmtOffset]])</f>
        <v>0</v>
      </c>
      <c r="G212" s="2" t="str">
        <f>IF(AND(Table18[[#This Row],[isblank]]=TRUE,Table18[[#This Row],[count]]&gt;1),"delete","")</f>
        <v/>
      </c>
      <c r="H212" s="2"/>
      <c r="I212" s="2">
        <f>IF(ISBLANK(Table18[[#This Row],[gmtOffset]]),Table18[[#This Row],[utcOffsetLookup]],Table18[[#This Row],[gmtOffset]])</f>
        <v>7</v>
      </c>
      <c r="J212" s="2"/>
    </row>
    <row r="213" spans="1:10" x14ac:dyDescent="0.3">
      <c r="A213" t="s">
        <v>4348</v>
      </c>
      <c r="B213" s="34" t="str">
        <f>IF(Table18[[#This Row],[gmtOffset]]&gt;0,"+",IF(Table18[[#This Row],[gmtOffset]]=0,"","-"))</f>
        <v>+</v>
      </c>
      <c r="C213">
        <v>5</v>
      </c>
      <c r="D213" s="35">
        <f>Table18[[#This Row],[gmtOffset]]/24</f>
        <v>0.20833333333333334</v>
      </c>
      <c r="E213" s="2">
        <f>COUNTIFS(Table18[iataAirportCode],"="&amp;Table18[[#This Row],[iataAirportCode]])</f>
        <v>1</v>
      </c>
      <c r="F213" s="2" t="b">
        <f>ISBLANK(Table18[[#This Row],[gmtOffset]])</f>
        <v>0</v>
      </c>
      <c r="G213" s="2" t="str">
        <f>IF(AND(Table18[[#This Row],[isblank]]=TRUE,Table18[[#This Row],[count]]&gt;1),"delete","")</f>
        <v/>
      </c>
      <c r="H213" s="2"/>
      <c r="I213" s="2">
        <f>IF(ISBLANK(Table18[[#This Row],[gmtOffset]]),Table18[[#This Row],[utcOffsetLookup]],Table18[[#This Row],[gmtOffset]])</f>
        <v>5</v>
      </c>
      <c r="J213" s="2"/>
    </row>
  </sheetData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111"/>
  <dimension ref="A1:B2"/>
  <sheetViews>
    <sheetView workbookViewId="0">
      <selection activeCell="C5" sqref="C5"/>
    </sheetView>
  </sheetViews>
  <sheetFormatPr defaultColWidth="8.77734375" defaultRowHeight="14.4" x14ac:dyDescent="0.3"/>
  <cols>
    <col min="1" max="1" width="7.21875" bestFit="1" customWidth="1"/>
    <col min="2" max="2" width="20.88671875" bestFit="1" customWidth="1"/>
  </cols>
  <sheetData>
    <row r="1" spans="1:2" x14ac:dyDescent="0.3">
      <c r="A1" t="s">
        <v>6174</v>
      </c>
      <c r="B1" t="s">
        <v>6175</v>
      </c>
    </row>
    <row r="2" spans="1:2" x14ac:dyDescent="0.3">
      <c r="A2" t="s">
        <v>6314</v>
      </c>
      <c r="B2" t="s">
        <v>6315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111111">
    <tabColor theme="3"/>
  </sheetPr>
  <dimension ref="A1:FI11"/>
  <sheetViews>
    <sheetView zoomScaleNormal="100" workbookViewId="0">
      <selection activeCell="A2" sqref="A2:A11"/>
    </sheetView>
  </sheetViews>
  <sheetFormatPr defaultColWidth="37.77734375" defaultRowHeight="14.55" customHeight="1" x14ac:dyDescent="0.3"/>
  <cols>
    <col min="4" max="4" width="13.77734375" bestFit="1" customWidth="1"/>
    <col min="5" max="5" width="16" bestFit="1" customWidth="1"/>
    <col min="6" max="6" width="12.33203125" bestFit="1" customWidth="1"/>
    <col min="7" max="7" width="12.109375" bestFit="1" customWidth="1"/>
    <col min="8" max="8" width="14.33203125" bestFit="1" customWidth="1"/>
    <col min="9" max="9" width="13.44140625" bestFit="1" customWidth="1"/>
    <col min="10" max="10" width="9.44140625" bestFit="1" customWidth="1"/>
    <col min="11" max="11" width="13.33203125" bestFit="1" customWidth="1"/>
    <col min="12" max="12" width="22.77734375" bestFit="1" customWidth="1"/>
    <col min="13" max="13" width="33" bestFit="1" customWidth="1"/>
    <col min="15" max="15" width="27.6640625" bestFit="1" customWidth="1"/>
    <col min="16" max="16" width="25" bestFit="1" customWidth="1"/>
    <col min="17" max="17" width="35" bestFit="1" customWidth="1"/>
    <col min="21" max="21" width="14.6640625" bestFit="1" customWidth="1"/>
    <col min="22" max="22" width="27.77734375" bestFit="1" customWidth="1"/>
    <col min="23" max="23" width="37.6640625" style="85" bestFit="1" customWidth="1"/>
    <col min="24" max="24" width="10.77734375" bestFit="1" customWidth="1"/>
    <col min="25" max="25" width="17" bestFit="1" customWidth="1"/>
    <col min="26" max="27" width="17.77734375" bestFit="1" customWidth="1"/>
    <col min="28" max="28" width="17.88671875" bestFit="1" customWidth="1"/>
    <col min="29" max="29" width="26.109375" bestFit="1" customWidth="1"/>
    <col min="30" max="30" width="18.88671875" bestFit="1" customWidth="1"/>
    <col min="31" max="31" width="18.77734375" bestFit="1" customWidth="1"/>
    <col min="32" max="32" width="16.109375" bestFit="1" customWidth="1"/>
    <col min="33" max="33" width="14.44140625" bestFit="1" customWidth="1"/>
    <col min="34" max="34" width="11.88671875" bestFit="1" customWidth="1"/>
    <col min="38" max="38" width="17" bestFit="1" customWidth="1"/>
    <col min="39" max="39" width="20.77734375" bestFit="1" customWidth="1"/>
    <col min="40" max="40" width="18" bestFit="1" customWidth="1"/>
    <col min="41" max="41" width="13.21875" bestFit="1" customWidth="1"/>
    <col min="42" max="42" width="5.6640625" bestFit="1" customWidth="1"/>
    <col min="43" max="43" width="12.21875" bestFit="1" customWidth="1"/>
    <col min="44" max="44" width="26.21875" bestFit="1" customWidth="1"/>
    <col min="45" max="45" width="13.33203125" bestFit="1" customWidth="1"/>
    <col min="46" max="46" width="18.6640625" bestFit="1" customWidth="1"/>
    <col min="119" max="119" width="37.77734375" style="3"/>
    <col min="165" max="165" width="37.77734375" style="4"/>
  </cols>
  <sheetData>
    <row r="1" spans="1:165" ht="14.55" customHeight="1" x14ac:dyDescent="0.3">
      <c r="A1" s="86" t="s">
        <v>6295</v>
      </c>
      <c r="B1" s="87" t="s">
        <v>6294</v>
      </c>
      <c r="C1" t="s">
        <v>6293</v>
      </c>
      <c r="D1" s="87" t="s">
        <v>6292</v>
      </c>
      <c r="E1" s="87" t="s">
        <v>6283</v>
      </c>
      <c r="F1" s="87" t="s">
        <v>6286</v>
      </c>
      <c r="G1" s="87" t="s">
        <v>6288</v>
      </c>
      <c r="H1" s="87" t="s">
        <v>6287</v>
      </c>
      <c r="I1" s="88" t="s">
        <v>6304</v>
      </c>
      <c r="J1" s="87" t="s">
        <v>6289</v>
      </c>
      <c r="K1" s="87" t="s">
        <v>6285</v>
      </c>
      <c r="L1" s="6" t="s">
        <v>6298</v>
      </c>
      <c r="M1" s="87" t="s">
        <v>6299</v>
      </c>
      <c r="N1" s="89" t="s">
        <v>6297</v>
      </c>
      <c r="O1" s="87" t="s">
        <v>6305</v>
      </c>
      <c r="P1" s="87" t="s">
        <v>6301</v>
      </c>
      <c r="Q1" s="89" t="s">
        <v>6302</v>
      </c>
      <c r="R1" s="89" t="s">
        <v>6300</v>
      </c>
      <c r="S1" s="94" t="s">
        <v>6303</v>
      </c>
      <c r="T1" s="87" t="s">
        <v>6291</v>
      </c>
      <c r="U1" s="87" t="s">
        <v>6290</v>
      </c>
      <c r="V1" s="87" t="s">
        <v>6307</v>
      </c>
      <c r="W1" s="87" t="s">
        <v>37</v>
      </c>
      <c r="X1" s="87" t="s">
        <v>26</v>
      </c>
      <c r="Y1" s="87" t="s">
        <v>41</v>
      </c>
      <c r="Z1" s="87" t="s">
        <v>40</v>
      </c>
      <c r="AA1" s="87" t="s">
        <v>42</v>
      </c>
      <c r="AB1" s="87" t="s">
        <v>27</v>
      </c>
      <c r="AC1" s="87" t="s">
        <v>28</v>
      </c>
      <c r="AD1" s="87" t="s">
        <v>43</v>
      </c>
      <c r="AE1" s="87" t="s">
        <v>38</v>
      </c>
      <c r="AF1" s="87" t="s">
        <v>68</v>
      </c>
      <c r="AG1" s="87" t="s">
        <v>67</v>
      </c>
      <c r="AH1" s="87" t="s">
        <v>69</v>
      </c>
      <c r="AI1" s="87" t="s">
        <v>39</v>
      </c>
      <c r="AJ1" s="87" t="s">
        <v>253</v>
      </c>
      <c r="AK1" s="87" t="s">
        <v>105</v>
      </c>
      <c r="AL1" s="87" t="s">
        <v>6117</v>
      </c>
      <c r="AM1" s="87" t="s">
        <v>229</v>
      </c>
      <c r="AN1" s="87" t="s">
        <v>6281</v>
      </c>
      <c r="AO1" s="87" t="s">
        <v>47</v>
      </c>
      <c r="AP1" s="87" t="s">
        <v>20</v>
      </c>
      <c r="AQ1" s="87" t="s">
        <v>6111</v>
      </c>
      <c r="AR1" s="87" t="s">
        <v>6280</v>
      </c>
      <c r="AS1" s="87" t="s">
        <v>6282</v>
      </c>
      <c r="AT1" s="87" t="s">
        <v>6114</v>
      </c>
      <c r="AU1" s="87" t="s">
        <v>89</v>
      </c>
      <c r="AV1" s="87" t="s">
        <v>90</v>
      </c>
      <c r="AW1" s="87" t="s">
        <v>88</v>
      </c>
      <c r="AX1" s="87" t="s">
        <v>6267</v>
      </c>
      <c r="AY1" s="87" t="s">
        <v>6112</v>
      </c>
      <c r="AZ1" s="87" t="s">
        <v>6113</v>
      </c>
      <c r="BA1" s="90" t="s">
        <v>6126</v>
      </c>
      <c r="BB1" s="87" t="s">
        <v>6284</v>
      </c>
      <c r="BC1" s="87" t="s">
        <v>6127</v>
      </c>
      <c r="BD1" s="87" t="s">
        <v>6132</v>
      </c>
      <c r="BE1" s="87" t="s">
        <v>6134</v>
      </c>
      <c r="BF1" s="87" t="s">
        <v>6135</v>
      </c>
      <c r="BG1" s="87" t="s">
        <v>6133</v>
      </c>
      <c r="BH1" s="87" t="s">
        <v>6276</v>
      </c>
      <c r="BI1" s="87" t="s">
        <v>6215</v>
      </c>
      <c r="BJ1" s="87" t="s">
        <v>6136</v>
      </c>
      <c r="BK1" s="87" t="s">
        <v>6137</v>
      </c>
      <c r="BL1" s="87" t="s">
        <v>6138</v>
      </c>
      <c r="BM1" t="s">
        <v>6270</v>
      </c>
      <c r="BN1" t="s">
        <v>6271</v>
      </c>
      <c r="BO1" t="s">
        <v>6272</v>
      </c>
      <c r="BP1" t="s">
        <v>6273</v>
      </c>
      <c r="BQ1" t="s">
        <v>6274</v>
      </c>
      <c r="BR1" t="s">
        <v>6275</v>
      </c>
      <c r="DO1"/>
      <c r="FI1"/>
    </row>
    <row r="2" spans="1:165" ht="14.55" customHeight="1" x14ac:dyDescent="0.3">
      <c r="A2" s="2" t="str">
        <f ca="1">Passenger_PNR[[#This Row],[RawSingleApisCharRep2]]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2" s="2" t="str">
        <f ca="1">Passenger_PNR[[#This Row],[RawIndividualApisCharRep2]]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C2" s="2" t="str">
        <f ca="1">CONCATENATE(Passenger_PNR[[#This Row],[clobHeader]],Passenger_PNR[[#This Row],[pr]],Passenger_PNR[[#This Row],[clobFooter]])</f>
        <v xml:space="preserve">UNB+UNOA:4+XYZ+CUSTOMS+130322:0335+0000001++API'
UNG+PAXLST+XYZ AIRLINES+CUSTOMS+130322:0335+1+UN+D:15B'
UNH+5755176+PAXLST:D:15B:UN:IATA'
BGM+266+CLOB'
RFF+TN:ABC1234:::2'
TDT+20+YY123+++YY'
LOC+125+IAD'
DTM+189:1908021200:201'
LOC+87+BRU'
DTM+232:1908031322:201'NAD+ZZZ'
RFF+AVF:ABC123'RFF+ABO:3FA2A0'
</v>
      </c>
      <c r="D2">
        <f>ROW(Passenger_PNR[[#This Row],[rowNumber]])-1</f>
        <v>1</v>
      </c>
      <c r="E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Ali yyé</v>
      </c>
      <c r="G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Null~Value</v>
      </c>
      <c r="H2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2" s="8" t="str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Null~Value</v>
      </c>
      <c r="J2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Null~Value</v>
      </c>
      <c r="K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Null~Value</v>
      </c>
      <c r="L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Null~Value</v>
      </c>
      <c r="M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Null~Value</v>
      </c>
      <c r="N2" s="1" t="str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Null~Value</v>
      </c>
      <c r="O2" s="85" t="str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Null~Value</v>
      </c>
      <c r="P2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2" s="1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2" s="1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2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2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IAD</v>
      </c>
      <c r="U2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BRU</v>
      </c>
      <c r="V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ABC123</v>
      </c>
      <c r="W2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NAD+FL+++Ali yyé'</v>
      </c>
      <c r="X2" s="2" t="str">
        <f>IF(Passenger_PNR[[#This Row],[gender]]="Null~Value","",CONCATENATE(CHAR(10),"ATT+2++",Passenger_PNR[[#This Row],[gender]],"'"))</f>
        <v/>
      </c>
      <c r="Y2" s="2" t="str">
        <f>IF(Passenger_PNR[[#This Row],[dateOfBIrth]]="Null~Value","",CONCATENATE(CHAR(10),"DTM+329:",TEXT(Passenger_PNR[[#This Row],[dateOfBIrth]],"yymmdd"),"'"))</f>
        <v/>
      </c>
      <c r="Z2" s="2" t="str">
        <f>IF(Passenger_PNR[[#This Row],[embarkation]]="Null~Value","",CONCATENATE(CHAR(10),"LOC+178+",Passenger_PNR[[#This Row],[embarkation]],"'"))</f>
        <v xml:space="preserve">
LOC+178+IAD'</v>
      </c>
      <c r="AA2" s="2" t="str">
        <f>IF(Passenger_PNR[[#This Row],[debarkation]]="Null~Value","",CONCATENATE(CHAR(10),"LOC+179+",Passenger_PNR[[#This Row],[debarkation]],"'"))</f>
        <v xml:space="preserve">
LOC+179+BRU'</v>
      </c>
      <c r="AB2" s="2" t="str">
        <f>IF(Passenger_PNR[[#This Row],[nationality]]="Null~Value","",CONCATENATE(CHAR(10),"NAT+2+",Passenger_PNR[[#This Row],[nationality]],"'"))</f>
        <v/>
      </c>
      <c r="AC2" s="2" t="str">
        <f>CONCATENATE(CHAR(10),"DOC+",Passenger_PNR[[#This Row],[documentTypePrimary]],"+",Passenger_PNR[[#This Row],[documentNumberPrimary]],"'")</f>
        <v xml:space="preserve">
DOC+Null~Value+Null~Value'</v>
      </c>
      <c r="AD2" s="2" t="str">
        <f>CONCATENATE(CHAR(10),"DTM+36:",TEXT(Passenger_PNR[[#This Row],[documentExpirationPrimary]],"yymmdd"),"'")</f>
        <v xml:space="preserve">
DTM+36:Null~Value'</v>
      </c>
      <c r="AE2" s="2" t="str">
        <f>CONCATENATE(CHAR(10),"LOC+91","+",Passenger_PNR[[#This Row],[documentIssuanceCountryPrimary]],"'")</f>
        <v xml:space="preserve">
LOC+91+Null~Value'</v>
      </c>
      <c r="AF2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2" s="2" t="str">
        <f>IF(Passenger_PNR[[#This Row],[documentExpirationDateSecondary]]="Null~Value","",CONCATENATE(CHAR(10),"DTM+36:",TEXT(Passenger_PNR[[#This Row],[documentExpirationDateSecondary]],"yymmdd"),"'"))</f>
        <v/>
      </c>
      <c r="AH2" s="2" t="str">
        <f>IF(Passenger_PNR[[#This Row],[documentIssuanceCountrySecondary]]="Null~Value","",CONCATENATE(CHAR(10),"LOC+91+",Passenger_PNR[[#This Row],[documentIssuanceCountrySecondary]],"'"))</f>
        <v/>
      </c>
      <c r="AI2" s="2" t="str">
        <f>CONCATENATE(CHAR(10),"LOC+174+",Passenger_PNR[[#This Row],[nationality]],"'")</f>
        <v xml:space="preserve">
LOC+174+Null~Value'</v>
      </c>
      <c r="AJ2" s="2" t="str">
        <f>IF(Passenger_PNR[[#This Row],[pnrRecordLocatorNumber]]="Null~Value","",CONCATENATE(CHAR(10),"RFF+AVF:",Passenger_PNR[[#This Row],[pnrRecordLocatorNumber]],"'"))</f>
        <v xml:space="preserve">
RFF+AVF:ABC123'</v>
      </c>
      <c r="AK2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Null~ValueNull~ValueAli yyéNull~ValueNull~ValueNull~ValueNull~Value</v>
      </c>
      <c r="AL2" s="2" t="str">
        <f ca="1">CONCATENATE("RFF+ABO:",LEFT(Passenger_PNR[[#This Row],[PassengerTVLHash]],6),"'",CHAR(10))</f>
        <v xml:space="preserve">RFF+ABO:3FA2A0'
</v>
      </c>
      <c r="AM2" s="2" t="str">
        <f ca="1">hash12(CONCATENATE(Passenger_PNR[[#This Row],[Entity Match]],Home!$C$124))</f>
        <v>3FA2A0A26EAB</v>
      </c>
      <c r="AN2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Null~Value</v>
      </c>
      <c r="AO2" s="2" t="str">
        <f>IF(Passenger_PNR[[#This Row],[seatAssignment]]="Null~Value","",CONCATENATE(CHAR(10),"RFF+SEA:",Passenger_PNR[[#This Row],[seatAssignment]],"'"))</f>
        <v/>
      </c>
      <c r="AP2" s="2" t="str">
        <f>Home!$C$66</f>
        <v>YY</v>
      </c>
      <c r="AQ2" s="2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1</v>
      </c>
      <c r="AR2" s="2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10</v>
      </c>
      <c r="AS2" s="2" t="str">
        <f>IF(Passenger_PNR[[#This Row],[bagCount]]="Null~Value","",CONCATENATE(CHAR(10),"MEA+CT++",Passenger_PNR[[#This Row],[bagCount]],"'"))</f>
        <v xml:space="preserve">
MEA+CT++1'</v>
      </c>
      <c r="AT2" s="2" t="str">
        <f>IF(Passenger_PNR[[#This Row],[combinedBagWeight(kg)]]="Null~Value","",CONCATENATE(CHAR(10),"MEA+WT++",Home!$C$93,":",Passenger_PNR[[#This Row],[combinedBagWeight(kg)]],"'"))</f>
        <v xml:space="preserve">
MEA+WT++KGM:10'</v>
      </c>
      <c r="AU2" s="2" t="str">
        <f ca="1">IF(1=Passenger_PNR[[#This Row],[rowNumber]],Home!$C$122,"")</f>
        <v xml:space="preserve">UNB+UNOA:4+SAMPLE CARRIER NAME:ZZ+HDQCH2X:ZZ+190802:1700+123456789++PAXLST'
UNH+53371718146010+PAXLST:D:02B:UN:IATA'
BGM+745'
NAD+MS+++WORLD CUSTOMS ORGANIZATION BRU'
COM+17037919383:TE'
TDT+20+YY123'
LOC+125+IAD'
DTM+189:1908021200:201'
LOC+87+BRU'
DTM+232:1908031322:201'
</v>
      </c>
      <c r="AV2" s="2" t="str">
        <f>IF(MAX(Passenger_PNR[rowNumber])=Passenger_PNR[[#This Row],[rowNumber]],Home!$C$133,"")</f>
        <v/>
      </c>
      <c r="AW2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NAD+FL+++ALI YYÉ'
MEA+CT++1'
MEA+WT++KGM:10'
LOC+178+IAD'
LOC+179+BRU'
LOC+174+NULL~VALUE'
RFF+AVF:ABC123'
DOC+NULL~VALUE+NULL~VALUE'
DTM+36:NULL~VALUE'
LOC+91+NULL~VALUE'</v>
      </c>
      <c r="AX2" s="2" t="str">
        <f ca="1">CONCATENATE("NAD+ZZZ'",Passenger_PNR[[#This Row],[PNR Record Locator]],Passenger_PNR[[#This Row],[ABO Code]])</f>
        <v xml:space="preserve">NAD+ZZZ'
RFF+AVF:ABC123'RFF+ABO:3FA2A0'
</v>
      </c>
      <c r="AY2" s="2" t="str">
        <f ca="1"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>UNB+UNOA:4+XYZ+CUSTOMS+130322:0335+0000001++API'
UNG+PAXLST+XYZ AIRLINES+CUSTOMS+130322:0335+1+UN+D:15B'
UNH+5755176+PAXLST:D:15B:UN:IATA'
BGM+266+CLOB'
RFF+TN:ABC1234:::2'
TDT+20+YY123+++YY'
LOC+125+IAD'
DTM+189:1908021200:201'
LOC+87+BRU'
DTM+232:1908031322:201'</v>
      </c>
      <c r="AZ2" s="2" t="str">
        <f>IF(Passenger_PNR[[#This Row],[rowNumber]]=MAX(Passenger_PNR[rowNumber]),CONCATENATE("CNT+42:7’
UNT+31+5755176'
UNE+1+1'
UNZ+1+0000001’"),"")</f>
        <v/>
      </c>
      <c r="BA2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ABC123</v>
      </c>
      <c r="BB2" s="2">
        <f>LEN(Passenger_PNR[[#This Row],[Contents]])-LEN(SUBSTITUTE(Passenger_PNR[[#This Row],[Contents]],"'",""))</f>
        <v>10</v>
      </c>
      <c r="BC2" s="2">
        <f>SUMIFS(Passenger_PNR[segmentCount],Passenger_PNR[rowNumber],"&lt;="&amp;Passenger_PNR[[#This Row],[rowNumber]])</f>
        <v>10</v>
      </c>
      <c r="BD2" s="2">
        <f ca="1">MOD(Passenger_PNR[[#This Row],[sumtotal]],configSettings!$B$22)</f>
        <v>10</v>
      </c>
      <c r="BE2" s="2">
        <f ca="1">IF(OFFSET(Passenger_PNR[[#This Row],[Column5]],-1,0)&gt;Passenger_PNR[[#This Row],[Column5]],1,0)</f>
        <v>1</v>
      </c>
      <c r="BF2" s="2">
        <f ca="1">IF(Passenger_PNR[[#This Row],[rowNumber]]=MAX(Passenger_PNR[rowNumber]),1,IF(OFFSET(Passenger_PNR[[#This Row],[apisMessageGroup]],1,0)&gt;Passenger_PNR[[#This Row],[apisMessageGroup]],1,0))</f>
        <v>0</v>
      </c>
      <c r="BG2" s="2">
        <f ca="1">SUMIFS(Passenger_PNR[apisMessageHeader],Passenger_PNR[rowNumber],"&lt;="&amp;Passenger_PNR[[#This Row],[rowNumber]])</f>
        <v>1</v>
      </c>
      <c r="BH2" s="2">
        <f ca="1">COUNTIFS(Passenger_PNR[apisMessageGroup],"="&amp;Passenger_PNR[[#This Row],[apisMessageGroup]])</f>
        <v>4</v>
      </c>
      <c r="BI2" s="2" t="str">
        <f ca="1">CONCATENATE(Passenger_PNR[[#This Row],[newHeader2]],Passenger_PNR[[#This Row],[newContents]],Passenger_PNR[[#This Row],[newFooter2]])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J2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NAD+FL+++ALI YYÉ'
MEA+CT++1'
MEA+WT++KGM:10'
LOC+178+IAD'
LOC+179+BRU'
LOC+174+'
RFF+AVF:ABC123'
DOC++'
DTM+36:'
LOC+91+'</v>
      </c>
      <c r="BK2" s="2" t="str">
        <f ca="1">IF(Passenger_PNR[[#This Row],[apisMessageHeader]]=1,Home!$C$122,"")</f>
        <v xml:space="preserve">UNB+UNOA:4+SAMPLE CARRIER NAME:ZZ+HDQCH2X:ZZ+190802:1700+123456789++PAXLST'
UNH+53371718146010+PAXLST:D:02B:UN:IATA'
BGM+745'
NAD+MS+++WORLD CUSTOMS ORGANIZATION BRU'
COM+17037919383:TE'
TDT+20+YY123'
LOC+125+IAD'
DTM+189:1908021200:201'
LOC+87+BRU'
DTM+232:1908031322:201'
</v>
      </c>
      <c r="BL2" s="2" t="str">
        <f ca="1">IF(Passenger_PNR[[#This Row],[apisMessageFooter]]=1,Home!$C$133,"")</f>
        <v/>
      </c>
      <c r="BM2" s="2" t="str">
        <f ca="1">SUBSTITUTE(CONCATENATE(Passenger_PNR[[#This Row],[Attach Header]],Passenger_PNR[[#This Row],[Contents]],Passenger_PNR[[#This Row],[Attach Footer]]),"NULL~VALUE","")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N2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O2" s="2" t="str">
        <f ca="1"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P2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Q2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BR2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NAD+FL+++ALI YYÉ'
MEA+CT++1'
MEA+WT++KGM:10'
LOC+178+IAD'
LOC+179+BRU'
LOC+174+'
RFF+AVF:ABC123'
DOC++'
DTM+36:'
LOC+91+'</v>
      </c>
      <c r="DO2"/>
      <c r="FI2"/>
    </row>
    <row r="3" spans="1:165" ht="14.55" customHeight="1" x14ac:dyDescent="0.3">
      <c r="A3" s="2" t="str">
        <f>Passenger_PNR[[#This Row],[RawSingleApisCharRep2]]</f>
        <v>NAD+FL+++EVELYN:AAKESSON'
ATT+2++M'
DTM+329:130414'
LOC+174+SWE'
NAT+2+SWE'
RFF+AVF:89TVRV'
RFF+SEA:16D'
DOC+P+G839083'
DTM+36:200101'
LOC+91+SWE'</v>
      </c>
      <c r="B3" s="2" t="str">
        <f ca="1">Passenger_PNR[[#This Row],[RawIndividualApisCharRep2]]</f>
        <v>NAD+FL+++EVELYN:AAKESSON'
ATT+2++M'
DTM+329:130414'
LOC+174+SWE'
NAT+2+SWE'
RFF+AVF:89TVRV'
RFF+SEA:16D'
DOC+P+G839083'
DTM+36:200101'
LOC+91+SWE'</v>
      </c>
      <c r="C3" s="2" t="str">
        <f ca="1">CONCATENATE(Passenger_PNR[[#This Row],[clobHeader]],Passenger_PNR[[#This Row],[pr]],Passenger_PNR[[#This Row],[clobFooter]])</f>
        <v xml:space="preserve">NAD+ZZZ'
RFF+AVF:89TVRV'RFF+ABO:61B833'
</v>
      </c>
      <c r="D3">
        <f>ROW(Passenger_PNR[[#This Row],[rowNumber]])-1</f>
        <v>2</v>
      </c>
      <c r="E3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3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EVELYN</v>
      </c>
      <c r="G3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AAKESSON</v>
      </c>
      <c r="H3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3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41378</v>
      </c>
      <c r="J3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M</v>
      </c>
      <c r="K3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SWE</v>
      </c>
      <c r="L3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3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SWE</v>
      </c>
      <c r="N3" s="83" t="str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G839083</v>
      </c>
      <c r="O3" s="33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43831</v>
      </c>
      <c r="P3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3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3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3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3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3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3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89TVRV</v>
      </c>
      <c r="W3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NAD+FL+++EVELYN:AAKESSON'</v>
      </c>
      <c r="X3" s="2" t="str">
        <f>IF(Passenger_PNR[[#This Row],[gender]]="Null~Value","",CONCATENATE(CHAR(10),"ATT+2++",Passenger_PNR[[#This Row],[gender]],"'"))</f>
        <v xml:space="preserve">
ATT+2++M'</v>
      </c>
      <c r="Y3" s="2" t="str">
        <f>IF(Passenger_PNR[[#This Row],[dateOfBIrth]]="Null~Value","",CONCATENATE(CHAR(10),"DTM+329:",TEXT(Passenger_PNR[[#This Row],[dateOfBIrth]],"yymmdd"),"'"))</f>
        <v xml:space="preserve">
DTM+329:130414'</v>
      </c>
      <c r="Z3" s="2" t="str">
        <f>IF(Passenger_PNR[[#This Row],[embarkation]]="Null~Value","",CONCATENATE(CHAR(10),"LOC+178+",Passenger_PNR[[#This Row],[embarkation]],"'"))</f>
        <v/>
      </c>
      <c r="AA3" s="2" t="str">
        <f>IF(Passenger_PNR[[#This Row],[debarkation]]="Null~Value","",CONCATENATE(CHAR(10),"LOC+179+",Passenger_PNR[[#This Row],[debarkation]],"'"))</f>
        <v/>
      </c>
      <c r="AB3" s="2" t="str">
        <f>IF(Passenger_PNR[[#This Row],[nationality]]="Null~Value","",CONCATENATE(CHAR(10),"NAT+2+",Passenger_PNR[[#This Row],[nationality]],"'"))</f>
        <v xml:space="preserve">
NAT+2+SWE'</v>
      </c>
      <c r="AC3" s="2" t="str">
        <f>CONCATENATE(CHAR(10),"DOC+",Passenger_PNR[[#This Row],[documentTypePrimary]],"+",Passenger_PNR[[#This Row],[documentNumberPrimary]],"'")</f>
        <v xml:space="preserve">
DOC+P+G839083'</v>
      </c>
      <c r="AD3" s="2" t="str">
        <f>CONCATENATE(CHAR(10),"DTM+36:",TEXT(Passenger_PNR[[#This Row],[documentExpirationPrimary]],"yymmdd"),"'")</f>
        <v xml:space="preserve">
DTM+36:200101'</v>
      </c>
      <c r="AE3" s="2" t="str">
        <f>CONCATENATE(CHAR(10),"LOC+91","+",Passenger_PNR[[#This Row],[documentIssuanceCountryPrimary]],"'")</f>
        <v xml:space="preserve">
LOC+91+SWE'</v>
      </c>
      <c r="AF3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3" s="2" t="str">
        <f>IF(Passenger_PNR[[#This Row],[documentExpirationDateSecondary]]="Null~Value","",CONCATENATE(CHAR(10),"DTM+36:",TEXT(Passenger_PNR[[#This Row],[documentExpirationDateSecondary]],"yymmdd"),"'"))</f>
        <v/>
      </c>
      <c r="AH3" s="2" t="str">
        <f>IF(Passenger_PNR[[#This Row],[documentIssuanceCountrySecondary]]="Null~Value","",CONCATENATE(CHAR(10),"LOC+91+",Passenger_PNR[[#This Row],[documentIssuanceCountrySecondary]],"'"))</f>
        <v/>
      </c>
      <c r="AI3" s="2" t="str">
        <f>CONCATENATE(CHAR(10),"LOC+174+",Passenger_PNR[[#This Row],[nationality]],"'")</f>
        <v xml:space="preserve">
LOC+174+SWE'</v>
      </c>
      <c r="AJ3" s="2" t="str">
        <f>IF(Passenger_PNR[[#This Row],[pnrRecordLocatorNumber]]="Null~Value","",CONCATENATE(CHAR(10),"RFF+AVF:",Passenger_PNR[[#This Row],[pnrRecordLocatorNumber]],"'"))</f>
        <v xml:space="preserve">
RFF+AVF:89TVRV'</v>
      </c>
      <c r="AK3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MAAKESSONEVELYN41378SWEG83908343831</v>
      </c>
      <c r="AL3" s="2" t="str">
        <f ca="1">CONCATENATE("RFF+ABO:",LEFT(Passenger_PNR[[#This Row],[PassengerTVLHash]],6),"'",CHAR(10))</f>
        <v xml:space="preserve">RFF+ABO:61B833'
</v>
      </c>
      <c r="AM3" s="2" t="str">
        <f ca="1">hash12(CONCATENATE(Passenger_PNR[[#This Row],[Entity Match]],Home!$C$124))</f>
        <v>61B833B91075</v>
      </c>
      <c r="AN3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16D</v>
      </c>
      <c r="AO3" s="2" t="str">
        <f>IF(Passenger_PNR[[#This Row],[seatAssignment]]="Null~Value","",CONCATENATE(CHAR(10),"RFF+SEA:",Passenger_PNR[[#This Row],[seatAssignment]],"'"))</f>
        <v xml:space="preserve">
RFF+SEA:16D'</v>
      </c>
      <c r="AP3" s="2" t="str">
        <f>Home!$C$66</f>
        <v>YY</v>
      </c>
      <c r="AQ3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3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3" s="2" t="str">
        <f>IF(Passenger_PNR[[#This Row],[bagCount]]="Null~Value","",CONCATENATE(CHAR(10),"MEA+CT++",Passenger_PNR[[#This Row],[bagCount]],"'"))</f>
        <v/>
      </c>
      <c r="AT3" s="2" t="str">
        <f>IF(Passenger_PNR[[#This Row],[combinedBagWeight(kg)]]="Null~Value","",CONCATENATE(CHAR(10),"MEA+WT++",Home!$C$93,":",Passenger_PNR[[#This Row],[combinedBagWeight(kg)]],"'"))</f>
        <v/>
      </c>
      <c r="AU3" s="2" t="str">
        <f>IF(1=Passenger_PNR[[#This Row],[rowNumber]],Home!$C$122,"")</f>
        <v/>
      </c>
      <c r="AV3" s="2" t="str">
        <f>IF(MAX(Passenger_PNR[rowNumber])=Passenger_PNR[[#This Row],[rowNumber]],Home!$C$133,"")</f>
        <v/>
      </c>
      <c r="AW3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NAD+FL+++EVELYN:AAKESSON'
ATT+2++M'
DTM+329:130414'
LOC+174+SWE'
NAT+2+SWE'
RFF+AVF:89TVRV'
RFF+SEA:16D'
DOC+P+G839083'
DTM+36:200101'
LOC+91+SWE'</v>
      </c>
      <c r="AX3" s="2" t="str">
        <f ca="1">CONCATENATE("NAD+ZZZ'",Passenger_PNR[[#This Row],[PNR Record Locator]],Passenger_PNR[[#This Row],[ABO Code]])</f>
        <v xml:space="preserve">NAD+ZZZ'
RFF+AVF:89TVRV'RFF+ABO:61B833'
</v>
      </c>
      <c r="AY3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3" s="2" t="str">
        <f>IF(Passenger_PNR[[#This Row],[rowNumber]]=MAX(Passenger_PNR[rowNumber]),CONCATENATE("CNT+42:7’
UNT+31+5755176'
UNE+1+1'
UNZ+1+0000001’"),"")</f>
        <v/>
      </c>
      <c r="BA3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89TVRV</v>
      </c>
      <c r="BB3" s="2">
        <f>LEN(Passenger_PNR[[#This Row],[Contents]])-LEN(SUBSTITUTE(Passenger_PNR[[#This Row],[Contents]],"'",""))</f>
        <v>10</v>
      </c>
      <c r="BC3" s="2">
        <f>SUMIFS(Passenger_PNR[segmentCount],Passenger_PNR[rowNumber],"&lt;="&amp;Passenger_PNR[[#This Row],[rowNumber]])</f>
        <v>20</v>
      </c>
      <c r="BD3" s="2">
        <f ca="1">MOD(Passenger_PNR[[#This Row],[sumtotal]],configSettings!$B$22)</f>
        <v>20</v>
      </c>
      <c r="BE3" s="2">
        <f ca="1">IF(OFFSET(Passenger_PNR[[#This Row],[Column5]],-1,0)&gt;Passenger_PNR[[#This Row],[Column5]],1,0)</f>
        <v>0</v>
      </c>
      <c r="BF3" s="2">
        <f ca="1">IF(Passenger_PNR[[#This Row],[rowNumber]]=MAX(Passenger_PNR[rowNumber]),1,IF(OFFSET(Passenger_PNR[[#This Row],[apisMessageGroup]],1,0)&gt;Passenger_PNR[[#This Row],[apisMessageGroup]],1,0))</f>
        <v>0</v>
      </c>
      <c r="BG3" s="2">
        <f ca="1">SUMIFS(Passenger_PNR[apisMessageHeader],Passenger_PNR[rowNumber],"&lt;="&amp;Passenger_PNR[[#This Row],[rowNumber]])</f>
        <v>1</v>
      </c>
      <c r="BH3" s="2">
        <f ca="1">COUNTIFS(Passenger_PNR[apisMessageGroup],"="&amp;Passenger_PNR[[#This Row],[apisMessageGroup]])</f>
        <v>4</v>
      </c>
      <c r="BI3" s="2" t="str">
        <f ca="1">CONCATENATE(Passenger_PNR[[#This Row],[newHeader2]],Passenger_PNR[[#This Row],[newContents]],Passenger_PNR[[#This Row],[newFooter2]])</f>
        <v>NAD+FL+++EVELYN:AAKESSON'
ATT+2++M'
DTM+329:130414'
LOC+174+SWE'
NAT+2+SWE'
RFF+AVF:89TVRV'
RFF+SEA:16D'
DOC+P+G839083'
DTM+36:200101'
LOC+91+SWE'</v>
      </c>
      <c r="BJ3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NAD+FL+++EVELYN:AAKESSON'
ATT+2++M'
DTM+329:130414'
LOC+174+SWE'
NAT+2+SWE'
RFF+AVF:89TVRV'
RFF+SEA:16D'
DOC+P+G839083'
DTM+36:200101'
LOC+91+SWE'</v>
      </c>
      <c r="BK3" s="2" t="str">
        <f ca="1">IF(Passenger_PNR[[#This Row],[apisMessageHeader]]=1,Home!$C$122,"")</f>
        <v/>
      </c>
      <c r="BL3" s="2" t="str">
        <f ca="1">IF(Passenger_PNR[[#This Row],[apisMessageFooter]]=1,Home!$C$133,"")</f>
        <v/>
      </c>
      <c r="BM3" s="2" t="str">
        <f>SUBSTITUTE(CONCATENATE(Passenger_PNR[[#This Row],[Attach Header]],Passenger_PNR[[#This Row],[Contents]],Passenger_PNR[[#This Row],[Attach Footer]]),"NULL~VALUE","")</f>
        <v>NAD+FL+++EVELYN:AAKESSON'
ATT+2++M'
DTM+329:130414'
LOC+174+SWE'
NAT+2+SWE'
RFF+AVF:89TVRV'
RFF+SEA:16D'
DOC+P+G839083'
DTM+36:200101'
LOC+91+SWE'</v>
      </c>
      <c r="BN3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NAD+FL+++EVELYN:AAKESSON'
ATT+2++M'
DTM+329:130414'
LOC+174+SWE'
NAT+2+SWE'
RFF+AVF:89TVRV'
RFF+SEA:16D'
DOC+P+G839083'
DTM+36:200101'
LOC+91+SWE'</v>
      </c>
      <c r="BO3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NAD+FL+++EVELYN:AAKESSON'
ATT+2++M'
DTM+329:130414'
LOC+174+SWE'
NAT+2+SWE'
RFF+AVF:89TVRV'
RFF+SEA:16D'
DOC+P+G839083'
DTM+36:200101'
LOC+91+SWE'</v>
      </c>
      <c r="BP3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NAD+FL+++EVELYN:AAKESSON'
ATT+2++M'
DTM+329:130414'
LOC+174+SWE'
NAT+2+SWE'
RFF+AVF:89TVRV'
RFF+SEA:16D'
DOC+P+G839083'
DTM+36:200101'
LOC+91+SWE'</v>
      </c>
      <c r="BQ3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NAD+FL+++EVELYN:AAKESSON'
ATT+2++M'
DTM+329:130414'
LOC+174+SWE'
NAT+2+SWE'
RFF+AVF:89TVRV'
RFF+SEA:16D'
DOC+P+G839083'
DTM+36:200101'
LOC+91+SWE'</v>
      </c>
      <c r="BR3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NAD+FL+++EVELYN:AAKESSON'
ATT+2++M'
DTM+329:130414'
LOC+174+SWE'
NAT+2+SWE'
RFF+AVF:89TVRV'
RFF+SEA:16D'
DOC+P+G839083'
DTM+36:200101'
LOC+91+SWE'</v>
      </c>
      <c r="DO3"/>
      <c r="FI3"/>
    </row>
    <row r="4" spans="1:165" ht="14.55" customHeight="1" x14ac:dyDescent="0.3">
      <c r="A4" s="2" t="str">
        <f>Passenger_PNR[[#This Row],[RawSingleApisCharRep2]]</f>
        <v>NAD+FL+++IIDA:VILEN'
ATT+2++M'
DTM+329:321210'
MEA+CT++2'
MEA+WT++KGM:20'
LOC+174+FIN'
NAT+2+FIN'
RFF+AVF:UQA8AC'
RFF+SEA:61D'
DOC+P+41570439'
DTM+36:200102'
LOC+91+FIN'</v>
      </c>
      <c r="B4" s="2" t="str">
        <f ca="1">Passenger_PNR[[#This Row],[RawIndividualApisCharRep2]]</f>
        <v>NAD+FL+++IIDA:VILEN'
ATT+2++M'
DTM+329:321210'
MEA+CT++2'
MEA+WT++KGM:20'
LOC+174+FIN'
NAT+2+FIN'
RFF+AVF:UQA8AC'
RFF+SEA:61D'
DOC+P+41570439'
DTM+36:200102'
LOC+91+FIN'</v>
      </c>
      <c r="C4" s="2" t="str">
        <f ca="1">CONCATENATE(Passenger_PNR[[#This Row],[clobHeader]],Passenger_PNR[[#This Row],[pr]],Passenger_PNR[[#This Row],[clobFooter]])</f>
        <v xml:space="preserve">NAD+ZZZ'
RFF+AVF:UQA8AC'RFF+ABO:6248AE'
</v>
      </c>
      <c r="D4">
        <f>ROW(Passenger_PNR[[#This Row],[rowNumber]])-1</f>
        <v>3</v>
      </c>
      <c r="E4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4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IIDA</v>
      </c>
      <c r="G4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VILEN</v>
      </c>
      <c r="H4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4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12033</v>
      </c>
      <c r="J4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M</v>
      </c>
      <c r="K4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FIN</v>
      </c>
      <c r="L4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4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FIN</v>
      </c>
      <c r="N4" s="83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41570439</v>
      </c>
      <c r="O4" s="33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43832</v>
      </c>
      <c r="P4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4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4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4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4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4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4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UQA8AC</v>
      </c>
      <c r="W4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NAD+FL+++IIDA:VILEN'</v>
      </c>
      <c r="X4" s="2" t="str">
        <f>IF(Passenger_PNR[[#This Row],[gender]]="Null~Value","",CONCATENATE(CHAR(10),"ATT+2++",Passenger_PNR[[#This Row],[gender]],"'"))</f>
        <v xml:space="preserve">
ATT+2++M'</v>
      </c>
      <c r="Y4" s="2" t="str">
        <f>IF(Passenger_PNR[[#This Row],[dateOfBIrth]]="Null~Value","",CONCATENATE(CHAR(10),"DTM+329:",TEXT(Passenger_PNR[[#This Row],[dateOfBIrth]],"yymmdd"),"'"))</f>
        <v xml:space="preserve">
DTM+329:321210'</v>
      </c>
      <c r="Z4" s="2" t="str">
        <f>IF(Passenger_PNR[[#This Row],[embarkation]]="Null~Value","",CONCATENATE(CHAR(10),"LOC+178+",Passenger_PNR[[#This Row],[embarkation]],"'"))</f>
        <v/>
      </c>
      <c r="AA4" s="2" t="str">
        <f>IF(Passenger_PNR[[#This Row],[debarkation]]="Null~Value","",CONCATENATE(CHAR(10),"LOC+179+",Passenger_PNR[[#This Row],[debarkation]],"'"))</f>
        <v/>
      </c>
      <c r="AB4" s="2" t="str">
        <f>IF(Passenger_PNR[[#This Row],[nationality]]="Null~Value","",CONCATENATE(CHAR(10),"NAT+2+",Passenger_PNR[[#This Row],[nationality]],"'"))</f>
        <v xml:space="preserve">
NAT+2+FIN'</v>
      </c>
      <c r="AC4" s="2" t="str">
        <f>CONCATENATE(CHAR(10),"DOC+",Passenger_PNR[[#This Row],[documentTypePrimary]],"+",Passenger_PNR[[#This Row],[documentNumberPrimary]],"'")</f>
        <v xml:space="preserve">
DOC+P+41570439'</v>
      </c>
      <c r="AD4" s="2" t="str">
        <f>CONCATENATE(CHAR(10),"DTM+36:",TEXT(Passenger_PNR[[#This Row],[documentExpirationPrimary]],"yymmdd"),"'")</f>
        <v xml:space="preserve">
DTM+36:200102'</v>
      </c>
      <c r="AE4" s="2" t="str">
        <f>CONCATENATE(CHAR(10),"LOC+91","+",Passenger_PNR[[#This Row],[documentIssuanceCountryPrimary]],"'")</f>
        <v xml:space="preserve">
LOC+91+FIN'</v>
      </c>
      <c r="AF4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4" s="2" t="str">
        <f>IF(Passenger_PNR[[#This Row],[documentExpirationDateSecondary]]="Null~Value","",CONCATENATE(CHAR(10),"DTM+36:",TEXT(Passenger_PNR[[#This Row],[documentExpirationDateSecondary]],"yymmdd"),"'"))</f>
        <v/>
      </c>
      <c r="AH4" s="2" t="str">
        <f>IF(Passenger_PNR[[#This Row],[documentIssuanceCountrySecondary]]="Null~Value","",CONCATENATE(CHAR(10),"LOC+91+",Passenger_PNR[[#This Row],[documentIssuanceCountrySecondary]],"'"))</f>
        <v/>
      </c>
      <c r="AI4" s="2" t="str">
        <f>CONCATENATE(CHAR(10),"LOC+174+",Passenger_PNR[[#This Row],[nationality]],"'")</f>
        <v xml:space="preserve">
LOC+174+FIN'</v>
      </c>
      <c r="AJ4" s="2" t="str">
        <f>IF(Passenger_PNR[[#This Row],[pnrRecordLocatorNumber]]="Null~Value","",CONCATENATE(CHAR(10),"RFF+AVF:",Passenger_PNR[[#This Row],[pnrRecordLocatorNumber]],"'"))</f>
        <v xml:space="preserve">
RFF+AVF:UQA8AC'</v>
      </c>
      <c r="AK4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MVILENIIDA12033FIN4157043943832</v>
      </c>
      <c r="AL4" s="2" t="str">
        <f ca="1">CONCATENATE("RFF+ABO:",LEFT(Passenger_PNR[[#This Row],[PassengerTVLHash]],6),"'",CHAR(10))</f>
        <v xml:space="preserve">RFF+ABO:6248AE'
</v>
      </c>
      <c r="AM4" s="2" t="str">
        <f ca="1">hash12(CONCATENATE(Passenger_PNR[[#This Row],[Entity Match]],Home!$C$124))</f>
        <v>6248AE86EA06</v>
      </c>
      <c r="AN4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61D</v>
      </c>
      <c r="AO4" s="2" t="str">
        <f>IF(Passenger_PNR[[#This Row],[seatAssignment]]="Null~Value","",CONCATENATE(CHAR(10),"RFF+SEA:",Passenger_PNR[[#This Row],[seatAssignment]],"'"))</f>
        <v xml:space="preserve">
RFF+SEA:61D'</v>
      </c>
      <c r="AP4" s="2" t="str">
        <f>Home!$C$66</f>
        <v>YY</v>
      </c>
      <c r="AQ4" s="2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2</v>
      </c>
      <c r="AR4" s="2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20</v>
      </c>
      <c r="AS4" s="2" t="str">
        <f>IF(Passenger_PNR[[#This Row],[bagCount]]="Null~Value","",CONCATENATE(CHAR(10),"MEA+CT++",Passenger_PNR[[#This Row],[bagCount]],"'"))</f>
        <v xml:space="preserve">
MEA+CT++2'</v>
      </c>
      <c r="AT4" s="2" t="str">
        <f>IF(Passenger_PNR[[#This Row],[combinedBagWeight(kg)]]="Null~Value","",CONCATENATE(CHAR(10),"MEA+WT++",Home!$C$93,":",Passenger_PNR[[#This Row],[combinedBagWeight(kg)]],"'"))</f>
        <v xml:space="preserve">
MEA+WT++KGM:20'</v>
      </c>
      <c r="AU4" s="2" t="str">
        <f>IF(1=Passenger_PNR[[#This Row],[rowNumber]],Home!$C$122,"")</f>
        <v/>
      </c>
      <c r="AV4" s="2" t="str">
        <f>IF(MAX(Passenger_PNR[rowNumber])=Passenger_PNR[[#This Row],[rowNumber]],Home!$C$133,"")</f>
        <v/>
      </c>
      <c r="AW4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NAD+FL+++IIDA:VILEN'
ATT+2++M'
DTM+329:321210'
MEA+CT++2'
MEA+WT++KGM:20'
LOC+174+FIN'
NAT+2+FIN'
RFF+AVF:UQA8AC'
RFF+SEA:61D'
DOC+P+41570439'
DTM+36:200102'
LOC+91+FIN'</v>
      </c>
      <c r="AX4" s="2" t="str">
        <f ca="1">CONCATENATE("NAD+ZZZ'",Passenger_PNR[[#This Row],[PNR Record Locator]],Passenger_PNR[[#This Row],[ABO Code]])</f>
        <v xml:space="preserve">NAD+ZZZ'
RFF+AVF:UQA8AC'RFF+ABO:6248AE'
</v>
      </c>
      <c r="AY4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4" s="2" t="str">
        <f>IF(Passenger_PNR[[#This Row],[rowNumber]]=MAX(Passenger_PNR[rowNumber]),CONCATENATE("CNT+42:7’
UNT+31+5755176'
UNE+1+1'
UNZ+1+0000001’"),"")</f>
        <v/>
      </c>
      <c r="BA4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UQA8AC</v>
      </c>
      <c r="BB4" s="2">
        <f>LEN(Passenger_PNR[[#This Row],[Contents]])-LEN(SUBSTITUTE(Passenger_PNR[[#This Row],[Contents]],"'",""))</f>
        <v>12</v>
      </c>
      <c r="BC4" s="2">
        <f>SUMIFS(Passenger_PNR[segmentCount],Passenger_PNR[rowNumber],"&lt;="&amp;Passenger_PNR[[#This Row],[rowNumber]])</f>
        <v>32</v>
      </c>
      <c r="BD4" s="2">
        <f ca="1">MOD(Passenger_PNR[[#This Row],[sumtotal]],configSettings!$B$22)</f>
        <v>32</v>
      </c>
      <c r="BE4" s="2">
        <f ca="1">IF(OFFSET(Passenger_PNR[[#This Row],[Column5]],-1,0)&gt;Passenger_PNR[[#This Row],[Column5]],1,0)</f>
        <v>0</v>
      </c>
      <c r="BF4" s="2">
        <f ca="1">IF(Passenger_PNR[[#This Row],[rowNumber]]=MAX(Passenger_PNR[rowNumber]),1,IF(OFFSET(Passenger_PNR[[#This Row],[apisMessageGroup]],1,0)&gt;Passenger_PNR[[#This Row],[apisMessageGroup]],1,0))</f>
        <v>0</v>
      </c>
      <c r="BG4" s="2">
        <f ca="1">SUMIFS(Passenger_PNR[apisMessageHeader],Passenger_PNR[rowNumber],"&lt;="&amp;Passenger_PNR[[#This Row],[rowNumber]])</f>
        <v>1</v>
      </c>
      <c r="BH4" s="2">
        <f ca="1">COUNTIFS(Passenger_PNR[apisMessageGroup],"="&amp;Passenger_PNR[[#This Row],[apisMessageGroup]])</f>
        <v>4</v>
      </c>
      <c r="BI4" s="2" t="str">
        <f ca="1">CONCATENATE(Passenger_PNR[[#This Row],[newHeader2]],Passenger_PNR[[#This Row],[newContents]],Passenger_PNR[[#This Row],[newFooter2]])</f>
        <v>NAD+FL+++IIDA:VILEN'
ATT+2++M'
DTM+329:321210'
MEA+CT++2'
MEA+WT++KGM:20'
LOC+174+FIN'
NAT+2+FIN'
RFF+AVF:UQA8AC'
RFF+SEA:61D'
DOC+P+41570439'
DTM+36:200102'
LOC+91+FIN'</v>
      </c>
      <c r="BJ4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NAD+FL+++IIDA:VILEN'
ATT+2++M'
DTM+329:321210'
MEA+CT++2'
MEA+WT++KGM:20'
LOC+174+FIN'
NAT+2+FIN'
RFF+AVF:UQA8AC'
RFF+SEA:61D'
DOC+P+41570439'
DTM+36:200102'
LOC+91+FIN'</v>
      </c>
      <c r="BK4" s="2" t="str">
        <f ca="1">IF(Passenger_PNR[[#This Row],[apisMessageHeader]]=1,Home!$C$122,"")</f>
        <v/>
      </c>
      <c r="BL4" s="2" t="str">
        <f ca="1">IF(Passenger_PNR[[#This Row],[apisMessageFooter]]=1,Home!$C$133,"")</f>
        <v/>
      </c>
      <c r="BM4" s="2" t="str">
        <f>SUBSTITUTE(CONCATENATE(Passenger_PNR[[#This Row],[Attach Header]],Passenger_PNR[[#This Row],[Contents]],Passenger_PNR[[#This Row],[Attach Footer]]),"NULL~VALUE","")</f>
        <v>NAD+FL+++IIDA:VILEN'
ATT+2++M'
DTM+329:321210'
MEA+CT++2'
MEA+WT++KGM:20'
LOC+174+FIN'
NAT+2+FIN'
RFF+AVF:UQA8AC'
RFF+SEA:61D'
DOC+P+41570439'
DTM+36:200102'
LOC+91+FIN'</v>
      </c>
      <c r="BN4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NAD+FL+++IIDA:VILEN'
ATT+2++M'
DTM+329:321210'
MEA+CT++2'
MEA+WT++KGM:20'
LOC+174+FIN'
NAT+2+FIN'
RFF+AVF:UQA8AC'
RFF+SEA:61D'
DOC+P+41570439'
DTM+36:200102'
LOC+91+FIN'</v>
      </c>
      <c r="BO4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NAD+FL+++IIDA:VILEN'
ATT+2++M'
DTM+329:321210'
MEA+CT++2'
MEA+WT++KGM:20'
LOC+174+FIN'
NAT+2+FIN'
RFF+AVF:UQA8AC'
RFF+SEA:61D'
DOC+P+41570439'
DTM+36:200102'
LOC+91+FIN'</v>
      </c>
      <c r="BP4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NAD+FL+++IIDA:VILEN'
ATT+2++M'
DTM+329:321210'
MEA+CT++2'
MEA+WT++KGM:20'
LOC+174+FIN'
NAT+2+FIN'
RFF+AVF:UQA8AC'
RFF+SEA:61D'
DOC+P+41570439'
DTM+36:200102'
LOC+91+FIN'</v>
      </c>
      <c r="BQ4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NAD+FL+++IIDA:VILEN'
ATT+2++M'
DTM+329:321210'
MEA+CT++2'
MEA+WT++KGM:20'
LOC+174+FIN'
NAT+2+FIN'
RFF+AVF:UQA8AC'
RFF+SEA:61D'
DOC+P+41570439'
DTM+36:200102'
LOC+91+FIN'</v>
      </c>
      <c r="BR4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NAD+FL+++IIDA:VILEN'
ATT+2++M'
DTM+329:321210'
MEA+CT++2'
MEA+WT++KGM:20'
LOC+174+FIN'
NAT+2+FIN'
RFF+AVF:UQA8AC'
RFF+SEA:61D'
DOC+P+41570439'
DTM+36:200102'
LOC+91+FIN'</v>
      </c>
      <c r="DO4"/>
      <c r="FI4"/>
    </row>
    <row r="5" spans="1:165" ht="14.55" customHeight="1" x14ac:dyDescent="0.3">
      <c r="A5" s="2" t="str">
        <f>Passenger_PNR[[#This Row],[RawSingleApisCharRep2]]</f>
        <v>NAD+FL+++JONUZ:MAJSTOROVIC'
ATT+2++F'
DTM+329:210906'
LOC+174+SVN'
NAT+2+SVN'
RFF+AVF:17I57Q'
RFF+SEA:78C'
DOC+P+24416860'
DTM+36:200103'
LOC+91+SVN'</v>
      </c>
      <c r="B5" s="2" t="str">
        <f ca="1">Passenger_PNR[[#This Row],[RawIndividualApisCharRep2]]</f>
        <v>NAD+FL+++JONUZ:MAJSTOROVIC'
ATT+2++F'
DTM+329:210906'
LOC+174+SVN'
NAT+2+SVN'
RFF+AVF:17I57Q'
RFF+SEA:78C'
DOC+P+24416860'
DTM+36:200103'
LOC+91+SVN'
CNT+42:10'
UNT+23+53371718146010'
UNZ+1+123456789'</v>
      </c>
      <c r="C5" s="2" t="str">
        <f ca="1">CONCATENATE(Passenger_PNR[[#This Row],[clobHeader]],Passenger_PNR[[#This Row],[pr]],Passenger_PNR[[#This Row],[clobFooter]])</f>
        <v xml:space="preserve">NAD+ZZZ'
RFF+AVF:17I57Q'RFF+ABO:F8544C'
</v>
      </c>
      <c r="D5">
        <f>ROW(Passenger_PNR[[#This Row],[rowNumber]])-1</f>
        <v>4</v>
      </c>
      <c r="E5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5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JONUZ</v>
      </c>
      <c r="G5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MAJSTOROVIC</v>
      </c>
      <c r="H5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5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7920</v>
      </c>
      <c r="J5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F</v>
      </c>
      <c r="K5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SVN</v>
      </c>
      <c r="L5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5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SVN</v>
      </c>
      <c r="N5" s="83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24416860</v>
      </c>
      <c r="O5" s="33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43833</v>
      </c>
      <c r="P5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5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5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5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5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5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5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17I57Q</v>
      </c>
      <c r="W5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NAD+FL+++JONUZ:MAJSTOROVIC'</v>
      </c>
      <c r="X5" s="2" t="str">
        <f>IF(Passenger_PNR[[#This Row],[gender]]="Null~Value","",CONCATENATE(CHAR(10),"ATT+2++",Passenger_PNR[[#This Row],[gender]],"'"))</f>
        <v xml:space="preserve">
ATT+2++F'</v>
      </c>
      <c r="Y5" s="2" t="str">
        <f>IF(Passenger_PNR[[#This Row],[dateOfBIrth]]="Null~Value","",CONCATENATE(CHAR(10),"DTM+329:",TEXT(Passenger_PNR[[#This Row],[dateOfBIrth]],"yymmdd"),"'"))</f>
        <v xml:space="preserve">
DTM+329:210906'</v>
      </c>
      <c r="Z5" s="2" t="str">
        <f>IF(Passenger_PNR[[#This Row],[embarkation]]="Null~Value","",CONCATENATE(CHAR(10),"LOC+178+",Passenger_PNR[[#This Row],[embarkation]],"'"))</f>
        <v/>
      </c>
      <c r="AA5" s="2" t="str">
        <f>IF(Passenger_PNR[[#This Row],[debarkation]]="Null~Value","",CONCATENATE(CHAR(10),"LOC+179+",Passenger_PNR[[#This Row],[debarkation]],"'"))</f>
        <v/>
      </c>
      <c r="AB5" s="2" t="str">
        <f>IF(Passenger_PNR[[#This Row],[nationality]]="Null~Value","",CONCATENATE(CHAR(10),"NAT+2+",Passenger_PNR[[#This Row],[nationality]],"'"))</f>
        <v xml:space="preserve">
NAT+2+SVN'</v>
      </c>
      <c r="AC5" s="2" t="str">
        <f>CONCATENATE(CHAR(10),"DOC+",Passenger_PNR[[#This Row],[documentTypePrimary]],"+",Passenger_PNR[[#This Row],[documentNumberPrimary]],"'")</f>
        <v xml:space="preserve">
DOC+P+24416860'</v>
      </c>
      <c r="AD5" s="2" t="str">
        <f>CONCATENATE(CHAR(10),"DTM+36:",TEXT(Passenger_PNR[[#This Row],[documentExpirationPrimary]],"yymmdd"),"'")</f>
        <v xml:space="preserve">
DTM+36:200103'</v>
      </c>
      <c r="AE5" s="2" t="str">
        <f>CONCATENATE(CHAR(10),"LOC+91","+",Passenger_PNR[[#This Row],[documentIssuanceCountryPrimary]],"'")</f>
        <v xml:space="preserve">
LOC+91+SVN'</v>
      </c>
      <c r="AF5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5" s="2" t="str">
        <f>IF(Passenger_PNR[[#This Row],[documentExpirationDateSecondary]]="Null~Value","",CONCATENATE(CHAR(10),"DTM+36:",TEXT(Passenger_PNR[[#This Row],[documentExpirationDateSecondary]],"yymmdd"),"'"))</f>
        <v/>
      </c>
      <c r="AH5" s="2" t="str">
        <f>IF(Passenger_PNR[[#This Row],[documentIssuanceCountrySecondary]]="Null~Value","",CONCATENATE(CHAR(10),"LOC+91+",Passenger_PNR[[#This Row],[documentIssuanceCountrySecondary]],"'"))</f>
        <v/>
      </c>
      <c r="AI5" s="2" t="str">
        <f>CONCATENATE(CHAR(10),"LOC+174+",Passenger_PNR[[#This Row],[nationality]],"'")</f>
        <v xml:space="preserve">
LOC+174+SVN'</v>
      </c>
      <c r="AJ5" s="2" t="str">
        <f>IF(Passenger_PNR[[#This Row],[pnrRecordLocatorNumber]]="Null~Value","",CONCATENATE(CHAR(10),"RFF+AVF:",Passenger_PNR[[#This Row],[pnrRecordLocatorNumber]],"'"))</f>
        <v xml:space="preserve">
RFF+AVF:17I57Q'</v>
      </c>
      <c r="AK5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FMAJSTOROVICJONUZ7920SVN2441686043833</v>
      </c>
      <c r="AL5" s="2" t="str">
        <f ca="1">CONCATENATE("RFF+ABO:",LEFT(Passenger_PNR[[#This Row],[PassengerTVLHash]],6),"'",CHAR(10))</f>
        <v xml:space="preserve">RFF+ABO:F8544C'
</v>
      </c>
      <c r="AM5" s="2" t="str">
        <f ca="1">hash12(CONCATENATE(Passenger_PNR[[#This Row],[Entity Match]],Home!$C$124))</f>
        <v>F8544C152682</v>
      </c>
      <c r="AN5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78C</v>
      </c>
      <c r="AO5" s="2" t="str">
        <f>IF(Passenger_PNR[[#This Row],[seatAssignment]]="Null~Value","",CONCATENATE(CHAR(10),"RFF+SEA:",Passenger_PNR[[#This Row],[seatAssignment]],"'"))</f>
        <v xml:space="preserve">
RFF+SEA:78C'</v>
      </c>
      <c r="AP5" s="2" t="str">
        <f>Home!$C$66</f>
        <v>YY</v>
      </c>
      <c r="AQ5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5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5" s="2" t="str">
        <f>IF(Passenger_PNR[[#This Row],[bagCount]]="Null~Value","",CONCATENATE(CHAR(10),"MEA+CT++",Passenger_PNR[[#This Row],[bagCount]],"'"))</f>
        <v/>
      </c>
      <c r="AT5" s="2" t="str">
        <f>IF(Passenger_PNR[[#This Row],[combinedBagWeight(kg)]]="Null~Value","",CONCATENATE(CHAR(10),"MEA+WT++",Home!$C$93,":",Passenger_PNR[[#This Row],[combinedBagWeight(kg)]],"'"))</f>
        <v/>
      </c>
      <c r="AU5" s="2" t="str">
        <f>IF(1=Passenger_PNR[[#This Row],[rowNumber]],Home!$C$122,"")</f>
        <v/>
      </c>
      <c r="AV5" s="2" t="str">
        <f>IF(MAX(Passenger_PNR[rowNumber])=Passenger_PNR[[#This Row],[rowNumber]],Home!$C$133,"")</f>
        <v/>
      </c>
      <c r="AW5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NAD+FL+++JONUZ:MAJSTOROVIC'
ATT+2++F'
DTM+329:210906'
LOC+174+SVN'
NAT+2+SVN'
RFF+AVF:17I57Q'
RFF+SEA:78C'
DOC+P+24416860'
DTM+36:200103'
LOC+91+SVN'</v>
      </c>
      <c r="AX5" s="2" t="str">
        <f ca="1">CONCATENATE("NAD+ZZZ'",Passenger_PNR[[#This Row],[PNR Record Locator]],Passenger_PNR[[#This Row],[ABO Code]])</f>
        <v xml:space="preserve">NAD+ZZZ'
RFF+AVF:17I57Q'RFF+ABO:F8544C'
</v>
      </c>
      <c r="AY5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5" s="2" t="str">
        <f>IF(Passenger_PNR[[#This Row],[rowNumber]]=MAX(Passenger_PNR[rowNumber]),CONCATENATE("CNT+42:7’
UNT+31+5755176'
UNE+1+1'
UNZ+1+0000001’"),"")</f>
        <v/>
      </c>
      <c r="BA5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17I57Q</v>
      </c>
      <c r="BB5" s="2">
        <f>LEN(Passenger_PNR[[#This Row],[Contents]])-LEN(SUBSTITUTE(Passenger_PNR[[#This Row],[Contents]],"'",""))</f>
        <v>10</v>
      </c>
      <c r="BC5" s="2">
        <f>SUMIFS(Passenger_PNR[segmentCount],Passenger_PNR[rowNumber],"&lt;="&amp;Passenger_PNR[[#This Row],[rowNumber]])</f>
        <v>42</v>
      </c>
      <c r="BD5" s="2">
        <f ca="1">MOD(Passenger_PNR[[#This Row],[sumtotal]],configSettings!$B$22)</f>
        <v>42</v>
      </c>
      <c r="BE5" s="2">
        <f ca="1">IF(OFFSET(Passenger_PNR[[#This Row],[Column5]],-1,0)&gt;Passenger_PNR[[#This Row],[Column5]],1,0)</f>
        <v>0</v>
      </c>
      <c r="BF5" s="2">
        <f ca="1">IF(Passenger_PNR[[#This Row],[rowNumber]]=MAX(Passenger_PNR[rowNumber]),1,IF(OFFSET(Passenger_PNR[[#This Row],[apisMessageGroup]],1,0)&gt;Passenger_PNR[[#This Row],[apisMessageGroup]],1,0))</f>
        <v>1</v>
      </c>
      <c r="BG5" s="2">
        <f ca="1">SUMIFS(Passenger_PNR[apisMessageHeader],Passenger_PNR[rowNumber],"&lt;="&amp;Passenger_PNR[[#This Row],[rowNumber]])</f>
        <v>1</v>
      </c>
      <c r="BH5" s="2">
        <f ca="1">COUNTIFS(Passenger_PNR[apisMessageGroup],"="&amp;Passenger_PNR[[#This Row],[apisMessageGroup]])</f>
        <v>4</v>
      </c>
      <c r="BI5" s="2" t="str">
        <f ca="1">CONCATENATE(Passenger_PNR[[#This Row],[newHeader2]],Passenger_PNR[[#This Row],[newContents]],Passenger_PNR[[#This Row],[newFooter2]])</f>
        <v>NAD+FL+++JONUZ:MAJSTOROVIC'
ATT+2++F'
DTM+329:210906'
LOC+174+SVN'
NAT+2+SVN'
RFF+AVF:17I57Q'
RFF+SEA:78C'
DOC+P+24416860'
DTM+36:200103'
LOC+91+SVN'
CNT+42:10'
UNT+23+53371718146010'
UNZ+1+123456789'</v>
      </c>
      <c r="BJ5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NAD+FL+++JONUZ:MAJSTOROVIC'
ATT+2++F'
DTM+329:210906'
LOC+174+SVN'
NAT+2+SVN'
RFF+AVF:17I57Q'
RFF+SEA:78C'
DOC+P+24416860'
DTM+36:200103'
LOC+91+SVN'</v>
      </c>
      <c r="BK5" s="2" t="str">
        <f ca="1">IF(Passenger_PNR[[#This Row],[apisMessageHeader]]=1,Home!$C$122,"")</f>
        <v/>
      </c>
      <c r="BL5" s="2" t="str">
        <f ca="1">IF(Passenger_PNR[[#This Row],[apisMessageFooter]]=1,Home!$C$133,"")</f>
        <v xml:space="preserve">
CNT+42:10'
UNT+23+53371718146010'
UNZ+1+123456789'</v>
      </c>
      <c r="BM5" s="2" t="str">
        <f>SUBSTITUTE(CONCATENATE(Passenger_PNR[[#This Row],[Attach Header]],Passenger_PNR[[#This Row],[Contents]],Passenger_PNR[[#This Row],[Attach Footer]]),"NULL~VALUE","")</f>
        <v>NAD+FL+++JONUZ:MAJSTOROVIC'
ATT+2++F'
DTM+329:210906'
LOC+174+SVN'
NAT+2+SVN'
RFF+AVF:17I57Q'
RFF+SEA:78C'
DOC+P+24416860'
DTM+36:200103'
LOC+91+SVN'</v>
      </c>
      <c r="BN5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NAD+FL+++JONUZ:MAJSTOROVIC'
ATT+2++F'
DTM+329:210906'
LOC+174+SVN'
NAT+2+SVN'
RFF+AVF:17I57Q'
RFF+SEA:78C'
DOC+P+24416860'
DTM+36:200103'
LOC+91+SVN'</v>
      </c>
      <c r="BO5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NAD+FL+++JONUZ:MAJSTOROVIC'
ATT+2++F'
DTM+329:210906'
LOC+174+SVN'
NAT+2+SVN'
RFF+AVF:17I57Q'
RFF+SEA:78C'
DOC+P+24416860'
DTM+36:200103'
LOC+91+SVN'</v>
      </c>
      <c r="BP5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NAD+FL+++JONUZ:MAJSTOROVIC'
ATT+2++F'
DTM+329:210906'
LOC+174+SVN'
NAT+2+SVN'
RFF+AVF:17I57Q'
RFF+SEA:78C'
DOC+P+24416860'
DTM+36:200103'
LOC+91+SVN'
CNT+42:10'
UNT+23+53371718146010'
UNZ+1+123456789'</v>
      </c>
      <c r="BQ5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NAD+FL+++JONUZ:MAJSTOROVIC'
ATT+2++F'
DTM+329:210906'
LOC+174+SVN'
NAT+2+SVN'
RFF+AVF:17I57Q'
RFF+SEA:78C'
DOC+P+24416860'
DTM+36:200103'
LOC+91+SVN'
CNT+42:10'
UNT+23+53371718146010'
UNZ+1+123456789'</v>
      </c>
      <c r="BR5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NAD+FL+++JONUZ:MAJSTOROVIC'
ATT+2++F'
DTM+329:210906'
LOC+174+SVN'
NAT+2+SVN'
RFF+AVF:17I57Q'
RFF+SEA:78C'
DOC+P+24416860'
DTM+36:200103'
LOC+91+SVN'
CNT+42:10'
UNT+23+53371718146010'
UNZ+1+123456789'</v>
      </c>
      <c r="DO5"/>
      <c r="FI5"/>
    </row>
    <row r="6" spans="1:165" ht="14.55" customHeight="1" x14ac:dyDescent="0.3">
      <c r="A6" s="2" t="str">
        <f>Passenger_PNR[[#This Row],[RawSingleApisCharRep2]]</f>
        <v>NAD+FL+++KARI:SAEVARSSON'
ATT+2++M'
DTM+329:500522'
MEA+CT++3'
MEA+WT++KGM:30'
LOC+174+ISL'
NAT+2+ISL'
RFF+AVF:17I57Q'
RFF+SEA:10B'
DOC+P+O1694677'
DTM+36:200104'
LOC+91+ISL'
DTM+36:210101'</v>
      </c>
      <c r="B6" s="2" t="str">
        <f ca="1">Passenger_PNR[[#This Row],[RawIndividualApisCharRep2]]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NAD+FL+++KARI:SAEVARSSON'
ATT+2++M'
DTM+329:500522'
MEA+CT++3'
MEA+WT++KGM:30'
LOC+174+ISL'
NAT+2+ISL'
RFF+AVF:17I57Q'
RFF+SEA:10B'
DOC+P+O1694677'
DTM+36:200104'
LOC+91+ISL'
DTM+36:210101'</v>
      </c>
      <c r="C6" s="2" t="str">
        <f ca="1">CONCATENATE(Passenger_PNR[[#This Row],[clobHeader]],Passenger_PNR[[#This Row],[pr]],Passenger_PNR[[#This Row],[clobFooter]])</f>
        <v xml:space="preserve">NAD+ZZZ'
RFF+AVF:17I57Q'RFF+ABO:AD0071'
</v>
      </c>
      <c r="D6">
        <f>ROW(Passenger_PNR[[#This Row],[rowNumber]])-1</f>
        <v>5</v>
      </c>
      <c r="E6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6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KARI</v>
      </c>
      <c r="G6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SAEVARSSON</v>
      </c>
      <c r="H6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6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18405</v>
      </c>
      <c r="J6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M</v>
      </c>
      <c r="K6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ISL</v>
      </c>
      <c r="L6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6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ISL</v>
      </c>
      <c r="N6" s="83" t="str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O1694677</v>
      </c>
      <c r="O6" s="33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43834</v>
      </c>
      <c r="P6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6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6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6" s="33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44197</v>
      </c>
      <c r="T6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6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6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17I57Q</v>
      </c>
      <c r="W6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NAD+FL+++KARI:SAEVARSSON'</v>
      </c>
      <c r="X6" s="2" t="str">
        <f>IF(Passenger_PNR[[#This Row],[gender]]="Null~Value","",CONCATENATE(CHAR(10),"ATT+2++",Passenger_PNR[[#This Row],[gender]],"'"))</f>
        <v xml:space="preserve">
ATT+2++M'</v>
      </c>
      <c r="Y6" s="2" t="str">
        <f>IF(Passenger_PNR[[#This Row],[dateOfBIrth]]="Null~Value","",CONCATENATE(CHAR(10),"DTM+329:",TEXT(Passenger_PNR[[#This Row],[dateOfBIrth]],"yymmdd"),"'"))</f>
        <v xml:space="preserve">
DTM+329:500522'</v>
      </c>
      <c r="Z6" s="2" t="str">
        <f>IF(Passenger_PNR[[#This Row],[embarkation]]="Null~Value","",CONCATENATE(CHAR(10),"LOC+178+",Passenger_PNR[[#This Row],[embarkation]],"'"))</f>
        <v/>
      </c>
      <c r="AA6" s="2" t="str">
        <f>IF(Passenger_PNR[[#This Row],[debarkation]]="Null~Value","",CONCATENATE(CHAR(10),"LOC+179+",Passenger_PNR[[#This Row],[debarkation]],"'"))</f>
        <v/>
      </c>
      <c r="AB6" s="2" t="str">
        <f>IF(Passenger_PNR[[#This Row],[nationality]]="Null~Value","",CONCATENATE(CHAR(10),"NAT+2+",Passenger_PNR[[#This Row],[nationality]],"'"))</f>
        <v xml:space="preserve">
NAT+2+ISL'</v>
      </c>
      <c r="AC6" s="2" t="str">
        <f>CONCATENATE(CHAR(10),"DOC+",Passenger_PNR[[#This Row],[documentTypePrimary]],"+",Passenger_PNR[[#This Row],[documentNumberPrimary]],"'")</f>
        <v xml:space="preserve">
DOC+P+O1694677'</v>
      </c>
      <c r="AD6" s="2" t="str">
        <f>CONCATENATE(CHAR(10),"DTM+36:",TEXT(Passenger_PNR[[#This Row],[documentExpirationPrimary]],"yymmdd"),"'")</f>
        <v xml:space="preserve">
DTM+36:200104'</v>
      </c>
      <c r="AE6" s="2" t="str">
        <f>CONCATENATE(CHAR(10),"LOC+91","+",Passenger_PNR[[#This Row],[documentIssuanceCountryPrimary]],"'")</f>
        <v xml:space="preserve">
LOC+91+ISL'</v>
      </c>
      <c r="AF6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6" s="2" t="str">
        <f>IF(Passenger_PNR[[#This Row],[documentExpirationDateSecondary]]="Null~Value","",CONCATENATE(CHAR(10),"DTM+36:",TEXT(Passenger_PNR[[#This Row],[documentExpirationDateSecondary]],"yymmdd"),"'"))</f>
        <v xml:space="preserve">
DTM+36:210101'</v>
      </c>
      <c r="AH6" s="2" t="str">
        <f>IF(Passenger_PNR[[#This Row],[documentIssuanceCountrySecondary]]="Null~Value","",CONCATENATE(CHAR(10),"LOC+91+",Passenger_PNR[[#This Row],[documentIssuanceCountrySecondary]],"'"))</f>
        <v/>
      </c>
      <c r="AI6" s="2" t="str">
        <f>CONCATENATE(CHAR(10),"LOC+174+",Passenger_PNR[[#This Row],[nationality]],"'")</f>
        <v xml:space="preserve">
LOC+174+ISL'</v>
      </c>
      <c r="AJ6" s="2" t="str">
        <f>IF(Passenger_PNR[[#This Row],[pnrRecordLocatorNumber]]="Null~Value","",CONCATENATE(CHAR(10),"RFF+AVF:",Passenger_PNR[[#This Row],[pnrRecordLocatorNumber]],"'"))</f>
        <v xml:space="preserve">
RFF+AVF:17I57Q'</v>
      </c>
      <c r="AK6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MSAEVARSSONKARI18405ISLO169467743834</v>
      </c>
      <c r="AL6" s="2" t="str">
        <f ca="1">CONCATENATE("RFF+ABO:",LEFT(Passenger_PNR[[#This Row],[PassengerTVLHash]],6),"'",CHAR(10))</f>
        <v xml:space="preserve">RFF+ABO:AD0071'
</v>
      </c>
      <c r="AM6" s="2" t="str">
        <f ca="1">hash12(CONCATENATE(Passenger_PNR[[#This Row],[Entity Match]],Home!$C$124))</f>
        <v>AD00719BC663</v>
      </c>
      <c r="AN6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10B</v>
      </c>
      <c r="AO6" s="2" t="str">
        <f>IF(Passenger_PNR[[#This Row],[seatAssignment]]="Null~Value","",CONCATENATE(CHAR(10),"RFF+SEA:",Passenger_PNR[[#This Row],[seatAssignment]],"'"))</f>
        <v xml:space="preserve">
RFF+SEA:10B'</v>
      </c>
      <c r="AP6" s="2" t="str">
        <f>Home!$C$66</f>
        <v>YY</v>
      </c>
      <c r="AQ6" s="2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3</v>
      </c>
      <c r="AR6" s="2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30</v>
      </c>
      <c r="AS6" s="2" t="str">
        <f>IF(Passenger_PNR[[#This Row],[bagCount]]="Null~Value","",CONCATENATE(CHAR(10),"MEA+CT++",Passenger_PNR[[#This Row],[bagCount]],"'"))</f>
        <v xml:space="preserve">
MEA+CT++3'</v>
      </c>
      <c r="AT6" s="2" t="str">
        <f>IF(Passenger_PNR[[#This Row],[combinedBagWeight(kg)]]="Null~Value","",CONCATENATE(CHAR(10),"MEA+WT++",Home!$C$93,":",Passenger_PNR[[#This Row],[combinedBagWeight(kg)]],"'"))</f>
        <v xml:space="preserve">
MEA+WT++KGM:30'</v>
      </c>
      <c r="AU6" s="2" t="str">
        <f>IF(1=Passenger_PNR[[#This Row],[rowNumber]],Home!$C$122,"")</f>
        <v/>
      </c>
      <c r="AV6" s="2" t="str">
        <f>IF(MAX(Passenger_PNR[rowNumber])=Passenger_PNR[[#This Row],[rowNumber]],Home!$C$133,"")</f>
        <v/>
      </c>
      <c r="AW6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NAD+FL+++KARI:SAEVARSSON'
ATT+2++M'
DTM+329:500522'
MEA+CT++3'
MEA+WT++KGM:30'
LOC+174+ISL'
NAT+2+ISL'
RFF+AVF:17I57Q'
RFF+SEA:10B'
DOC+P+O1694677'
DTM+36:200104'
LOC+91+ISL'
DTM+36:210101'</v>
      </c>
      <c r="AX6" s="2" t="str">
        <f ca="1">CONCATENATE("NAD+ZZZ'",Passenger_PNR[[#This Row],[PNR Record Locator]],Passenger_PNR[[#This Row],[ABO Code]])</f>
        <v xml:space="preserve">NAD+ZZZ'
RFF+AVF:17I57Q'RFF+ABO:AD0071'
</v>
      </c>
      <c r="AY6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6" s="2" t="str">
        <f>IF(Passenger_PNR[[#This Row],[rowNumber]]=MAX(Passenger_PNR[rowNumber]),CONCATENATE("CNT+42:7’
UNT+31+5755176'
UNE+1+1'
UNZ+1+0000001’"),"")</f>
        <v/>
      </c>
      <c r="BA6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17I57Q</v>
      </c>
      <c r="BB6" s="2">
        <f>LEN(Passenger_PNR[[#This Row],[Contents]])-LEN(SUBSTITUTE(Passenger_PNR[[#This Row],[Contents]],"'",""))</f>
        <v>13</v>
      </c>
      <c r="BC6" s="2">
        <f>SUMIFS(Passenger_PNR[segmentCount],Passenger_PNR[rowNumber],"&lt;="&amp;Passenger_PNR[[#This Row],[rowNumber]])</f>
        <v>55</v>
      </c>
      <c r="BD6" s="2">
        <f ca="1">MOD(Passenger_PNR[[#This Row],[sumtotal]],configSettings!$B$22)</f>
        <v>8</v>
      </c>
      <c r="BE6" s="2">
        <f ca="1">IF(OFFSET(Passenger_PNR[[#This Row],[Column5]],-1,0)&gt;Passenger_PNR[[#This Row],[Column5]],1,0)</f>
        <v>1</v>
      </c>
      <c r="BF6" s="2">
        <f ca="1">IF(Passenger_PNR[[#This Row],[rowNumber]]=MAX(Passenger_PNR[rowNumber]),1,IF(OFFSET(Passenger_PNR[[#This Row],[apisMessageGroup]],1,0)&gt;Passenger_PNR[[#This Row],[apisMessageGroup]],1,0))</f>
        <v>0</v>
      </c>
      <c r="BG6" s="2">
        <f ca="1">SUMIFS(Passenger_PNR[apisMessageHeader],Passenger_PNR[rowNumber],"&lt;="&amp;Passenger_PNR[[#This Row],[rowNumber]])</f>
        <v>2</v>
      </c>
      <c r="BH6" s="2">
        <f ca="1">COUNTIFS(Passenger_PNR[apisMessageGroup],"="&amp;Passenger_PNR[[#This Row],[apisMessageGroup]])</f>
        <v>4</v>
      </c>
      <c r="BI6" s="2" t="str">
        <f ca="1">CONCATENATE(Passenger_PNR[[#This Row],[newHeader2]],Passenger_PNR[[#This Row],[newContents]],Passenger_PNR[[#This Row],[newFooter2]])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NAD+FL+++KARI:SAEVARSSON'
ATT+2++M'
DTM+329:500522'
MEA+CT++3'
MEA+WT++KGM:30'
LOC+174+ISL'
NAT+2+ISL'
RFF+AVF:17I57Q'
RFF+SEA:10B'
DOC+P+O1694677'
DTM+36:200104'
LOC+91+ISL'
DTM+36:210101'</v>
      </c>
      <c r="BJ6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NAD+FL+++KARI:SAEVARSSON'
ATT+2++M'
DTM+329:500522'
MEA+CT++3'
MEA+WT++KGM:30'
LOC+174+ISL'
NAT+2+ISL'
RFF+AVF:17I57Q'
RFF+SEA:10B'
DOC+P+O1694677'
DTM+36:200104'
LOC+91+ISL'
DTM+36:210101'</v>
      </c>
      <c r="BK6" s="2" t="str">
        <f ca="1">IF(Passenger_PNR[[#This Row],[apisMessageHeader]]=1,Home!$C$122,"")</f>
        <v xml:space="preserve">UNB+UNOA:4+SAMPLE CARRIER NAME:ZZ+HDQCH2X:ZZ+190802:1700+123456789++PAXLST'
UNH+53371718146010+PAXLST:D:02B:UN:IATA'
BGM+745'
NAD+MS+++WORLD CUSTOMS ORGANIZATION BRU'
COM+17037919383:TE'
TDT+20+YY123'
LOC+125+IAD'
DTM+189:1908021200:201'
LOC+87+BRU'
DTM+232:1908031322:201'
</v>
      </c>
      <c r="BL6" s="2" t="str">
        <f ca="1">IF(Passenger_PNR[[#This Row],[apisMessageFooter]]=1,Home!$C$133,"")</f>
        <v/>
      </c>
      <c r="BM6" s="2" t="str">
        <f>SUBSTITUTE(CONCATENATE(Passenger_PNR[[#This Row],[Attach Header]],Passenger_PNR[[#This Row],[Contents]],Passenger_PNR[[#This Row],[Attach Footer]]),"NULL~VALUE","")</f>
        <v>NAD+FL+++KARI:SAEVARSSON'
ATT+2++M'
DTM+329:500522'
MEA+CT++3'
MEA+WT++KGM:30'
LOC+174+ISL'
NAT+2+ISL'
RFF+AVF:17I57Q'
RFF+SEA:10B'
DOC+P+O1694677'
DTM+36:200104'
LOC+91+ISL'
DTM+36:210101'</v>
      </c>
      <c r="BN6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NAD+FL+++KARI:SAEVARSSON'
ATT+2++M'
DTM+329:500522'
MEA+CT++3'
MEA+WT++KGM:30'
LOC+174+ISL'
NAT+2+ISL'
RFF+AVF:17I57Q'
RFF+SEA:10B'
DOC+P+O1694677'
DTM+36:200104'
LOC+91+ISL'
DTM+36:210101'</v>
      </c>
      <c r="BO6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NAD+FL+++KARI:SAEVARSSON'
ATT+2++M'
DTM+329:500522'
MEA+CT++3'
MEA+WT++KGM:30'
LOC+174+ISL'
NAT+2+ISL'
RFF+AVF:17I57Q'
RFF+SEA:10B'
DOC+P+O1694677'
DTM+36:200104'
LOC+91+ISL'
DTM+36:210101'</v>
      </c>
      <c r="BP6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NAD+FL+++KARI:SAEVARSSON'
ATT+2++M'
DTM+329:500522'
MEA+CT++3'
MEA+WT++KGM:30'
LOC+174+ISL'
NAT+2+ISL'
RFF+AVF:17I57Q'
RFF+SEA:10B'
DOC+P+O1694677'
DTM+36:200104'
LOC+91+ISL'
DTM+36:210101'</v>
      </c>
      <c r="BQ6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NAD+FL+++KARI:SAEVARSSON'
ATT+2++M'
DTM+329:500522'
MEA+CT++3'
MEA+WT++KGM:30'
LOC+174+ISL'
NAT+2+ISL'
RFF+AVF:17I57Q'
RFF+SEA:10B'
DOC+P+O1694677'
DTM+36:200104'
LOC+91+ISL'
DTM+36:210101'</v>
      </c>
      <c r="BR6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NAD+FL+++KARI:SAEVARSSON'
ATT+2++M'
DTM+329:500522'
MEA+CT++3'
MEA+WT++KGM:30'
LOC+174+ISL'
NAT+2+ISL'
RFF+AVF:17I57Q'
RFF+SEA:10B'
DOC+P+O1694677'
DTM+36:200104'
LOC+91+ISL'
DTM+36:210101'</v>
      </c>
      <c r="DO6"/>
      <c r="FI6"/>
    </row>
    <row r="7" spans="1:165" ht="14.55" customHeight="1" x14ac:dyDescent="0.3">
      <c r="A7" s="2" t="str">
        <f>Passenger_PNR[[#This Row],[RawSingleApisCharRep2]]</f>
        <v>NAD+FL+++LIBERA:MARCHESI'
ATT+2++M'
DTM+329:380822'
LOC+174+ITA'
NAT+2+ITA'
RFF+AVF:P6PEPI'
RFF+SEA:43D'
DOC+P+M709842'
DTM+36:200105'
LOC+91+ITA'
DTM+36:210102'</v>
      </c>
      <c r="B7" s="2" t="str">
        <f ca="1">Passenger_PNR[[#This Row],[RawIndividualApisCharRep2]]</f>
        <v>NAD+FL+++LIBERA:MARCHESI'
ATT+2++M'
DTM+329:380822'
LOC+174+ITA'
NAT+2+ITA'
RFF+AVF:P6PEPI'
RFF+SEA:43D'
DOC+P+M709842'
DTM+36:200105'
LOC+91+ITA'
DTM+36:210102'</v>
      </c>
      <c r="C7" s="2" t="str">
        <f ca="1">CONCATENATE(Passenger_PNR[[#This Row],[clobHeader]],Passenger_PNR[[#This Row],[pr]],Passenger_PNR[[#This Row],[clobFooter]])</f>
        <v xml:space="preserve">NAD+ZZZ'
RFF+AVF:P6PEPI'RFF+ABO:E522C3'
</v>
      </c>
      <c r="D7">
        <f>ROW(Passenger_PNR[[#This Row],[rowNumber]])-1</f>
        <v>6</v>
      </c>
      <c r="E7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7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LIBERA</v>
      </c>
      <c r="G7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MARCHESI</v>
      </c>
      <c r="H7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7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14114</v>
      </c>
      <c r="J7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M</v>
      </c>
      <c r="K7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ITA</v>
      </c>
      <c r="L7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7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ITA</v>
      </c>
      <c r="N7" s="83" t="str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M709842</v>
      </c>
      <c r="O7" s="33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43835</v>
      </c>
      <c r="P7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7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7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7" s="33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44198</v>
      </c>
      <c r="T7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7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7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P6PEPI</v>
      </c>
      <c r="W7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NAD+FL+++LIBERA:MARCHESI'</v>
      </c>
      <c r="X7" s="2" t="str">
        <f>IF(Passenger_PNR[[#This Row],[gender]]="Null~Value","",CONCATENATE(CHAR(10),"ATT+2++",Passenger_PNR[[#This Row],[gender]],"'"))</f>
        <v xml:space="preserve">
ATT+2++M'</v>
      </c>
      <c r="Y7" s="2" t="str">
        <f>IF(Passenger_PNR[[#This Row],[dateOfBIrth]]="Null~Value","",CONCATENATE(CHAR(10),"DTM+329:",TEXT(Passenger_PNR[[#This Row],[dateOfBIrth]],"yymmdd"),"'"))</f>
        <v xml:space="preserve">
DTM+329:380822'</v>
      </c>
      <c r="Z7" s="2" t="str">
        <f>IF(Passenger_PNR[[#This Row],[embarkation]]="Null~Value","",CONCATENATE(CHAR(10),"LOC+178+",Passenger_PNR[[#This Row],[embarkation]],"'"))</f>
        <v/>
      </c>
      <c r="AA7" s="2" t="str">
        <f>IF(Passenger_PNR[[#This Row],[debarkation]]="Null~Value","",CONCATENATE(CHAR(10),"LOC+179+",Passenger_PNR[[#This Row],[debarkation]],"'"))</f>
        <v/>
      </c>
      <c r="AB7" s="2" t="str">
        <f>IF(Passenger_PNR[[#This Row],[nationality]]="Null~Value","",CONCATENATE(CHAR(10),"NAT+2+",Passenger_PNR[[#This Row],[nationality]],"'"))</f>
        <v xml:space="preserve">
NAT+2+ITA'</v>
      </c>
      <c r="AC7" s="2" t="str">
        <f>CONCATENATE(CHAR(10),"DOC+",Passenger_PNR[[#This Row],[documentTypePrimary]],"+",Passenger_PNR[[#This Row],[documentNumberPrimary]],"'")</f>
        <v xml:space="preserve">
DOC+P+M709842'</v>
      </c>
      <c r="AD7" s="2" t="str">
        <f>CONCATENATE(CHAR(10),"DTM+36:",TEXT(Passenger_PNR[[#This Row],[documentExpirationPrimary]],"yymmdd"),"'")</f>
        <v xml:space="preserve">
DTM+36:200105'</v>
      </c>
      <c r="AE7" s="2" t="str">
        <f>CONCATENATE(CHAR(10),"LOC+91","+",Passenger_PNR[[#This Row],[documentIssuanceCountryPrimary]],"'")</f>
        <v xml:space="preserve">
LOC+91+ITA'</v>
      </c>
      <c r="AF7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7" s="2" t="str">
        <f>IF(Passenger_PNR[[#This Row],[documentExpirationDateSecondary]]="Null~Value","",CONCATENATE(CHAR(10),"DTM+36:",TEXT(Passenger_PNR[[#This Row],[documentExpirationDateSecondary]],"yymmdd"),"'"))</f>
        <v xml:space="preserve">
DTM+36:210102'</v>
      </c>
      <c r="AH7" s="2" t="str">
        <f>IF(Passenger_PNR[[#This Row],[documentIssuanceCountrySecondary]]="Null~Value","",CONCATENATE(CHAR(10),"LOC+91+",Passenger_PNR[[#This Row],[documentIssuanceCountrySecondary]],"'"))</f>
        <v/>
      </c>
      <c r="AI7" s="2" t="str">
        <f>CONCATENATE(CHAR(10),"LOC+174+",Passenger_PNR[[#This Row],[nationality]],"'")</f>
        <v xml:space="preserve">
LOC+174+ITA'</v>
      </c>
      <c r="AJ7" s="2" t="str">
        <f>IF(Passenger_PNR[[#This Row],[pnrRecordLocatorNumber]]="Null~Value","",CONCATENATE(CHAR(10),"RFF+AVF:",Passenger_PNR[[#This Row],[pnrRecordLocatorNumber]],"'"))</f>
        <v xml:space="preserve">
RFF+AVF:P6PEPI'</v>
      </c>
      <c r="AK7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MMARCHESILIBERA14114ITAM70984243835</v>
      </c>
      <c r="AL7" s="2" t="str">
        <f ca="1">CONCATENATE("RFF+ABO:",LEFT(Passenger_PNR[[#This Row],[PassengerTVLHash]],6),"'",CHAR(10))</f>
        <v xml:space="preserve">RFF+ABO:E522C3'
</v>
      </c>
      <c r="AM7" s="2" t="str">
        <f ca="1">hash12(CONCATENATE(Passenger_PNR[[#This Row],[Entity Match]],Home!$C$124))</f>
        <v>E522C3C1307F</v>
      </c>
      <c r="AN7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43D</v>
      </c>
      <c r="AO7" s="2" t="str">
        <f>IF(Passenger_PNR[[#This Row],[seatAssignment]]="Null~Value","",CONCATENATE(CHAR(10),"RFF+SEA:",Passenger_PNR[[#This Row],[seatAssignment]],"'"))</f>
        <v xml:space="preserve">
RFF+SEA:43D'</v>
      </c>
      <c r="AP7" s="2" t="str">
        <f>Home!$C$66</f>
        <v>YY</v>
      </c>
      <c r="AQ7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7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7" s="2" t="str">
        <f>IF(Passenger_PNR[[#This Row],[bagCount]]="Null~Value","",CONCATENATE(CHAR(10),"MEA+CT++",Passenger_PNR[[#This Row],[bagCount]],"'"))</f>
        <v/>
      </c>
      <c r="AT7" s="2" t="str">
        <f>IF(Passenger_PNR[[#This Row],[combinedBagWeight(kg)]]="Null~Value","",CONCATENATE(CHAR(10),"MEA+WT++",Home!$C$93,":",Passenger_PNR[[#This Row],[combinedBagWeight(kg)]],"'"))</f>
        <v/>
      </c>
      <c r="AU7" s="2" t="str">
        <f>IF(1=Passenger_PNR[[#This Row],[rowNumber]],Home!$C$122,"")</f>
        <v/>
      </c>
      <c r="AV7" s="2" t="str">
        <f>IF(MAX(Passenger_PNR[rowNumber])=Passenger_PNR[[#This Row],[rowNumber]],Home!$C$133,"")</f>
        <v/>
      </c>
      <c r="AW7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NAD+FL+++LIBERA:MARCHESI'
ATT+2++M'
DTM+329:380822'
LOC+174+ITA'
NAT+2+ITA'
RFF+AVF:P6PEPI'
RFF+SEA:43D'
DOC+P+M709842'
DTM+36:200105'
LOC+91+ITA'
DTM+36:210102'</v>
      </c>
      <c r="AX7" s="2" t="str">
        <f ca="1">CONCATENATE("NAD+ZZZ'",Passenger_PNR[[#This Row],[PNR Record Locator]],Passenger_PNR[[#This Row],[ABO Code]])</f>
        <v xml:space="preserve">NAD+ZZZ'
RFF+AVF:P6PEPI'RFF+ABO:E522C3'
</v>
      </c>
      <c r="AY7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7" s="2" t="str">
        <f>IF(Passenger_PNR[[#This Row],[rowNumber]]=MAX(Passenger_PNR[rowNumber]),CONCATENATE("CNT+42:7’
UNT+31+5755176'
UNE+1+1'
UNZ+1+0000001’"),"")</f>
        <v/>
      </c>
      <c r="BA7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P6PEPI</v>
      </c>
      <c r="BB7" s="2">
        <f>LEN(Passenger_PNR[[#This Row],[Contents]])-LEN(SUBSTITUTE(Passenger_PNR[[#This Row],[Contents]],"'",""))</f>
        <v>11</v>
      </c>
      <c r="BC7" s="2">
        <f>SUMIFS(Passenger_PNR[segmentCount],Passenger_PNR[rowNumber],"&lt;="&amp;Passenger_PNR[[#This Row],[rowNumber]])</f>
        <v>66</v>
      </c>
      <c r="BD7" s="2">
        <f ca="1">MOD(Passenger_PNR[[#This Row],[sumtotal]],configSettings!$B$22)</f>
        <v>19</v>
      </c>
      <c r="BE7" s="2">
        <f ca="1">IF(OFFSET(Passenger_PNR[[#This Row],[Column5]],-1,0)&gt;Passenger_PNR[[#This Row],[Column5]],1,0)</f>
        <v>0</v>
      </c>
      <c r="BF7" s="2">
        <f ca="1">IF(Passenger_PNR[[#This Row],[rowNumber]]=MAX(Passenger_PNR[rowNumber]),1,IF(OFFSET(Passenger_PNR[[#This Row],[apisMessageGroup]],1,0)&gt;Passenger_PNR[[#This Row],[apisMessageGroup]],1,0))</f>
        <v>0</v>
      </c>
      <c r="BG7" s="2">
        <f ca="1">SUMIFS(Passenger_PNR[apisMessageHeader],Passenger_PNR[rowNumber],"&lt;="&amp;Passenger_PNR[[#This Row],[rowNumber]])</f>
        <v>2</v>
      </c>
      <c r="BH7" s="2">
        <f ca="1">COUNTIFS(Passenger_PNR[apisMessageGroup],"="&amp;Passenger_PNR[[#This Row],[apisMessageGroup]])</f>
        <v>4</v>
      </c>
      <c r="BI7" s="2" t="str">
        <f ca="1">CONCATENATE(Passenger_PNR[[#This Row],[newHeader2]],Passenger_PNR[[#This Row],[newContents]],Passenger_PNR[[#This Row],[newFooter2]])</f>
        <v>NAD+FL+++LIBERA:MARCHESI'
ATT+2++M'
DTM+329:380822'
LOC+174+ITA'
NAT+2+ITA'
RFF+AVF:P6PEPI'
RFF+SEA:43D'
DOC+P+M709842'
DTM+36:200105'
LOC+91+ITA'
DTM+36:210102'</v>
      </c>
      <c r="BJ7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NAD+FL+++LIBERA:MARCHESI'
ATT+2++M'
DTM+329:380822'
LOC+174+ITA'
NAT+2+ITA'
RFF+AVF:P6PEPI'
RFF+SEA:43D'
DOC+P+M709842'
DTM+36:200105'
LOC+91+ITA'
DTM+36:210102'</v>
      </c>
      <c r="BK7" s="2" t="str">
        <f ca="1">IF(Passenger_PNR[[#This Row],[apisMessageHeader]]=1,Home!$C$122,"")</f>
        <v/>
      </c>
      <c r="BL7" s="2" t="str">
        <f ca="1">IF(Passenger_PNR[[#This Row],[apisMessageFooter]]=1,Home!$C$133,"")</f>
        <v/>
      </c>
      <c r="BM7" s="2" t="str">
        <f>SUBSTITUTE(CONCATENATE(Passenger_PNR[[#This Row],[Attach Header]],Passenger_PNR[[#This Row],[Contents]],Passenger_PNR[[#This Row],[Attach Footer]]),"NULL~VALUE","")</f>
        <v>NAD+FL+++LIBERA:MARCHESI'
ATT+2++M'
DTM+329:380822'
LOC+174+ITA'
NAT+2+ITA'
RFF+AVF:P6PEPI'
RFF+SEA:43D'
DOC+P+M709842'
DTM+36:200105'
LOC+91+ITA'
DTM+36:210102'</v>
      </c>
      <c r="BN7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NAD+FL+++LIBERA:MARCHESI'
ATT+2++M'
DTM+329:380822'
LOC+174+ITA'
NAT+2+ITA'
RFF+AVF:P6PEPI'
RFF+SEA:43D'
DOC+P+M709842'
DTM+36:200105'
LOC+91+ITA'
DTM+36:210102'</v>
      </c>
      <c r="BO7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NAD+FL+++LIBERA:MARCHESI'
ATT+2++M'
DTM+329:380822'
LOC+174+ITA'
NAT+2+ITA'
RFF+AVF:P6PEPI'
RFF+SEA:43D'
DOC+P+M709842'
DTM+36:200105'
LOC+91+ITA'
DTM+36:210102'</v>
      </c>
      <c r="BP7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NAD+FL+++LIBERA:MARCHESI'
ATT+2++M'
DTM+329:380822'
LOC+174+ITA'
NAT+2+ITA'
RFF+AVF:P6PEPI'
RFF+SEA:43D'
DOC+P+M709842'
DTM+36:200105'
LOC+91+ITA'
DTM+36:210102'</v>
      </c>
      <c r="BQ7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NAD+FL+++LIBERA:MARCHESI'
ATT+2++M'
DTM+329:380822'
LOC+174+ITA'
NAT+2+ITA'
RFF+AVF:P6PEPI'
RFF+SEA:43D'
DOC+P+M709842'
DTM+36:200105'
LOC+91+ITA'
DTM+36:210102'</v>
      </c>
      <c r="BR7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NAD+FL+++LIBERA:MARCHESI'
ATT+2++M'
DTM+329:380822'
LOC+174+ITA'
NAT+2+ITA'
RFF+AVF:P6PEPI'
RFF+SEA:43D'
DOC+P+M709842'
DTM+36:200105'
LOC+91+ITA'
DTM+36:210102'</v>
      </c>
      <c r="DO7"/>
      <c r="FI7"/>
    </row>
    <row r="8" spans="1:165" ht="14.55" customHeight="1" x14ac:dyDescent="0.3">
      <c r="A8" s="2" t="str">
        <f>Passenger_PNR[[#This Row],[RawSingleApisCharRep2]]</f>
        <v>NAD+FL+++MAX:VOGEL'
ATT+2++M'
DTM+329:900106'
LOC+174+DEU'
NAT+2+DEU'
RFF+AVF:P3HPUN'
RFF+SEA:79A'
DOC+P+42878759'
DTM+36:'
LOC+91+DEU'
DTM+36:210103'</v>
      </c>
      <c r="B8" s="2" t="str">
        <f ca="1">Passenger_PNR[[#This Row],[RawIndividualApisCharRep2]]</f>
        <v>NAD+FL+++MAX:VOGEL'
ATT+2++M'
DTM+329:900106'
LOC+174+DEU'
NAT+2+DEU'
RFF+AVF:P3HPUN'
RFF+SEA:79A'
DOC+P+42878759'
DTM+36:'
LOC+91+DEU'
DTM+36:210103'</v>
      </c>
      <c r="C8" s="2" t="str">
        <f ca="1">CONCATENATE(Passenger_PNR[[#This Row],[clobHeader]],Passenger_PNR[[#This Row],[pr]],Passenger_PNR[[#This Row],[clobFooter]])</f>
        <v xml:space="preserve">NAD+ZZZ'
RFF+AVF:P3HPUN'RFF+ABO:C6B52D'
</v>
      </c>
      <c r="D8">
        <f>ROW(Passenger_PNR[[#This Row],[rowNumber]])-1</f>
        <v>7</v>
      </c>
      <c r="E8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8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MAX</v>
      </c>
      <c r="G8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VOGEL</v>
      </c>
      <c r="H8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8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32879</v>
      </c>
      <c r="J8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M</v>
      </c>
      <c r="K8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DEU</v>
      </c>
      <c r="L8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8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DEU</v>
      </c>
      <c r="N8" s="83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42878759</v>
      </c>
      <c r="O8" s="33" t="str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Null~Value</v>
      </c>
      <c r="P8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8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8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8" s="33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44199</v>
      </c>
      <c r="T8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8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8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P3HPUN</v>
      </c>
      <c r="W8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NAD+FL+++MAX:VOGEL'</v>
      </c>
      <c r="X8" s="2" t="str">
        <f>IF(Passenger_PNR[[#This Row],[gender]]="Null~Value","",CONCATENATE(CHAR(10),"ATT+2++",Passenger_PNR[[#This Row],[gender]],"'"))</f>
        <v xml:space="preserve">
ATT+2++M'</v>
      </c>
      <c r="Y8" s="2" t="str">
        <f>IF(Passenger_PNR[[#This Row],[dateOfBIrth]]="Null~Value","",CONCATENATE(CHAR(10),"DTM+329:",TEXT(Passenger_PNR[[#This Row],[dateOfBIrth]],"yymmdd"),"'"))</f>
        <v xml:space="preserve">
DTM+329:900106'</v>
      </c>
      <c r="Z8" s="2" t="str">
        <f>IF(Passenger_PNR[[#This Row],[embarkation]]="Null~Value","",CONCATENATE(CHAR(10),"LOC+178+",Passenger_PNR[[#This Row],[embarkation]],"'"))</f>
        <v/>
      </c>
      <c r="AA8" s="2" t="str">
        <f>IF(Passenger_PNR[[#This Row],[debarkation]]="Null~Value","",CONCATENATE(CHAR(10),"LOC+179+",Passenger_PNR[[#This Row],[debarkation]],"'"))</f>
        <v/>
      </c>
      <c r="AB8" s="2" t="str">
        <f>IF(Passenger_PNR[[#This Row],[nationality]]="Null~Value","",CONCATENATE(CHAR(10),"NAT+2+",Passenger_PNR[[#This Row],[nationality]],"'"))</f>
        <v xml:space="preserve">
NAT+2+DEU'</v>
      </c>
      <c r="AC8" s="2" t="str">
        <f>CONCATENATE(CHAR(10),"DOC+",Passenger_PNR[[#This Row],[documentTypePrimary]],"+",Passenger_PNR[[#This Row],[documentNumberPrimary]],"'")</f>
        <v xml:space="preserve">
DOC+P+42878759'</v>
      </c>
      <c r="AD8" s="2" t="str">
        <f>CONCATENATE(CHAR(10),"DTM+36:",TEXT(Passenger_PNR[[#This Row],[documentExpirationPrimary]],"yymmdd"),"'")</f>
        <v xml:space="preserve">
DTM+36:Null~Value'</v>
      </c>
      <c r="AE8" s="2" t="str">
        <f>CONCATENATE(CHAR(10),"LOC+91","+",Passenger_PNR[[#This Row],[documentIssuanceCountryPrimary]],"'")</f>
        <v xml:space="preserve">
LOC+91+DEU'</v>
      </c>
      <c r="AF8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8" s="2" t="str">
        <f>IF(Passenger_PNR[[#This Row],[documentExpirationDateSecondary]]="Null~Value","",CONCATENATE(CHAR(10),"DTM+36:",TEXT(Passenger_PNR[[#This Row],[documentExpirationDateSecondary]],"yymmdd"),"'"))</f>
        <v xml:space="preserve">
DTM+36:210103'</v>
      </c>
      <c r="AH8" s="2" t="str">
        <f>IF(Passenger_PNR[[#This Row],[documentIssuanceCountrySecondary]]="Null~Value","",CONCATENATE(CHAR(10),"LOC+91+",Passenger_PNR[[#This Row],[documentIssuanceCountrySecondary]],"'"))</f>
        <v/>
      </c>
      <c r="AI8" s="2" t="str">
        <f>CONCATENATE(CHAR(10),"LOC+174+",Passenger_PNR[[#This Row],[nationality]],"'")</f>
        <v xml:space="preserve">
LOC+174+DEU'</v>
      </c>
      <c r="AJ8" s="2" t="str">
        <f>IF(Passenger_PNR[[#This Row],[pnrRecordLocatorNumber]]="Null~Value","",CONCATENATE(CHAR(10),"RFF+AVF:",Passenger_PNR[[#This Row],[pnrRecordLocatorNumber]],"'"))</f>
        <v xml:space="preserve">
RFF+AVF:P3HPUN'</v>
      </c>
      <c r="AK8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MVOGELMAX32879DEU42878759Null~Value</v>
      </c>
      <c r="AL8" s="2" t="str">
        <f ca="1">CONCATENATE("RFF+ABO:",LEFT(Passenger_PNR[[#This Row],[PassengerTVLHash]],6),"'",CHAR(10))</f>
        <v xml:space="preserve">RFF+ABO:C6B52D'
</v>
      </c>
      <c r="AM8" s="2" t="str">
        <f ca="1">hash12(CONCATENATE(Passenger_PNR[[#This Row],[Entity Match]],Home!$C$124))</f>
        <v>C6B52D8CAADF</v>
      </c>
      <c r="AN8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79A</v>
      </c>
      <c r="AO8" s="2" t="str">
        <f>IF(Passenger_PNR[[#This Row],[seatAssignment]]="Null~Value","",CONCATENATE(CHAR(10),"RFF+SEA:",Passenger_PNR[[#This Row],[seatAssignment]],"'"))</f>
        <v xml:space="preserve">
RFF+SEA:79A'</v>
      </c>
      <c r="AP8" s="2" t="str">
        <f>Home!$C$66</f>
        <v>YY</v>
      </c>
      <c r="AQ8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8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8" s="2" t="str">
        <f>IF(Passenger_PNR[[#This Row],[bagCount]]="Null~Value","",CONCATENATE(CHAR(10),"MEA+CT++",Passenger_PNR[[#This Row],[bagCount]],"'"))</f>
        <v/>
      </c>
      <c r="AT8" s="2" t="str">
        <f>IF(Passenger_PNR[[#This Row],[combinedBagWeight(kg)]]="Null~Value","",CONCATENATE(CHAR(10),"MEA+WT++",Home!$C$93,":",Passenger_PNR[[#This Row],[combinedBagWeight(kg)]],"'"))</f>
        <v/>
      </c>
      <c r="AU8" s="2" t="str">
        <f>IF(1=Passenger_PNR[[#This Row],[rowNumber]],Home!$C$122,"")</f>
        <v/>
      </c>
      <c r="AV8" s="2" t="str">
        <f>IF(MAX(Passenger_PNR[rowNumber])=Passenger_PNR[[#This Row],[rowNumber]],Home!$C$133,"")</f>
        <v/>
      </c>
      <c r="AW8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NAD+FL+++MAX:VOGEL'
ATT+2++M'
DTM+329:900106'
LOC+174+DEU'
NAT+2+DEU'
RFF+AVF:P3HPUN'
RFF+SEA:79A'
DOC+P+42878759'
DTM+36:NULL~VALUE'
LOC+91+DEU'
DTM+36:210103'</v>
      </c>
      <c r="AX8" s="2" t="str">
        <f ca="1">CONCATENATE("NAD+ZZZ'",Passenger_PNR[[#This Row],[PNR Record Locator]],Passenger_PNR[[#This Row],[ABO Code]])</f>
        <v xml:space="preserve">NAD+ZZZ'
RFF+AVF:P3HPUN'RFF+ABO:C6B52D'
</v>
      </c>
      <c r="AY8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8" s="2" t="str">
        <f>IF(Passenger_PNR[[#This Row],[rowNumber]]=MAX(Passenger_PNR[rowNumber]),CONCATENATE("CNT+42:7’
UNT+31+5755176'
UNE+1+1'
UNZ+1+0000001’"),"")</f>
        <v/>
      </c>
      <c r="BA8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P3HPUN</v>
      </c>
      <c r="BB8" s="2">
        <f>LEN(Passenger_PNR[[#This Row],[Contents]])-LEN(SUBSTITUTE(Passenger_PNR[[#This Row],[Contents]],"'",""))</f>
        <v>11</v>
      </c>
      <c r="BC8" s="2">
        <f>SUMIFS(Passenger_PNR[segmentCount],Passenger_PNR[rowNumber],"&lt;="&amp;Passenger_PNR[[#This Row],[rowNumber]])</f>
        <v>77</v>
      </c>
      <c r="BD8" s="2">
        <f ca="1">MOD(Passenger_PNR[[#This Row],[sumtotal]],configSettings!$B$22)</f>
        <v>30</v>
      </c>
      <c r="BE8" s="2">
        <f ca="1">IF(OFFSET(Passenger_PNR[[#This Row],[Column5]],-1,0)&gt;Passenger_PNR[[#This Row],[Column5]],1,0)</f>
        <v>0</v>
      </c>
      <c r="BF8" s="2">
        <f ca="1">IF(Passenger_PNR[[#This Row],[rowNumber]]=MAX(Passenger_PNR[rowNumber]),1,IF(OFFSET(Passenger_PNR[[#This Row],[apisMessageGroup]],1,0)&gt;Passenger_PNR[[#This Row],[apisMessageGroup]],1,0))</f>
        <v>0</v>
      </c>
      <c r="BG8" s="2">
        <f ca="1">SUMIFS(Passenger_PNR[apisMessageHeader],Passenger_PNR[rowNumber],"&lt;="&amp;Passenger_PNR[[#This Row],[rowNumber]])</f>
        <v>2</v>
      </c>
      <c r="BH8" s="2">
        <f ca="1">COUNTIFS(Passenger_PNR[apisMessageGroup],"="&amp;Passenger_PNR[[#This Row],[apisMessageGroup]])</f>
        <v>4</v>
      </c>
      <c r="BI8" s="2" t="str">
        <f ca="1">CONCATENATE(Passenger_PNR[[#This Row],[newHeader2]],Passenger_PNR[[#This Row],[newContents]],Passenger_PNR[[#This Row],[newFooter2]])</f>
        <v>NAD+FL+++MAX:VOGEL'
ATT+2++M'
DTM+329:900106'
LOC+174+DEU'
NAT+2+DEU'
RFF+AVF:P3HPUN'
RFF+SEA:79A'
DOC+P+42878759'
DTM+36:'
LOC+91+DEU'
DTM+36:210103'</v>
      </c>
      <c r="BJ8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NAD+FL+++MAX:VOGEL'
ATT+2++M'
DTM+329:900106'
LOC+174+DEU'
NAT+2+DEU'
RFF+AVF:P3HPUN'
RFF+SEA:79A'
DOC+P+42878759'
DTM+36:'
LOC+91+DEU'
DTM+36:210103'</v>
      </c>
      <c r="BK8" s="2" t="str">
        <f ca="1">IF(Passenger_PNR[[#This Row],[apisMessageHeader]]=1,Home!$C$122,"")</f>
        <v/>
      </c>
      <c r="BL8" s="2" t="str">
        <f ca="1">IF(Passenger_PNR[[#This Row],[apisMessageFooter]]=1,Home!$C$133,"")</f>
        <v/>
      </c>
      <c r="BM8" s="2" t="str">
        <f>SUBSTITUTE(CONCATENATE(Passenger_PNR[[#This Row],[Attach Header]],Passenger_PNR[[#This Row],[Contents]],Passenger_PNR[[#This Row],[Attach Footer]]),"NULL~VALUE","")</f>
        <v>NAD+FL+++MAX:VOGEL'
ATT+2++M'
DTM+329:900106'
LOC+174+DEU'
NAT+2+DEU'
RFF+AVF:P3HPUN'
RFF+SEA:79A'
DOC+P+42878759'
DTM+36:'
LOC+91+DEU'
DTM+36:210103'</v>
      </c>
      <c r="BN8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NAD+FL+++MAX:VOGEL'
ATT+2++M'
DTM+329:900106'
LOC+174+DEU'
NAT+2+DEU'
RFF+AVF:P3HPUN'
RFF+SEA:79A'
DOC+P+42878759'
DTM+36:'
LOC+91+DEU'
DTM+36:210103'</v>
      </c>
      <c r="BO8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NAD+FL+++MAX:VOGEL'
ATT+2++M'
DTM+329:900106'
LOC+174+DEU'
NAT+2+DEU'
RFF+AVF:P3HPUN'
RFF+SEA:79A'
DOC+P+42878759'
DTM+36:'
LOC+91+DEU'
DTM+36:210103'</v>
      </c>
      <c r="BP8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NAD+FL+++MAX:VOGEL'
ATT+2++M'
DTM+329:900106'
LOC+174+DEU'
NAT+2+DEU'
RFF+AVF:P3HPUN'
RFF+SEA:79A'
DOC+P+42878759'
DTM+36:'
LOC+91+DEU'
DTM+36:210103'</v>
      </c>
      <c r="BQ8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NAD+FL+++MAX:VOGEL'
ATT+2++M'
DTM+329:900106'
LOC+174+DEU'
NAT+2+DEU'
RFF+AVF:P3HPUN'
RFF+SEA:79A'
DOC+P+42878759'
DTM+36:'
LOC+91+DEU'
DTM+36:210103'</v>
      </c>
      <c r="BR8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NAD+FL+++MAX:VOGEL'
ATT+2++M'
DTM+329:900106'
LOC+174+DEU'
NAT+2+DEU'
RFF+AVF:P3HPUN'
RFF+SEA:79A'
DOC+P+42878759'
DTM+36:'
LOC+91+DEU'
DTM+36:210103'</v>
      </c>
      <c r="DO8"/>
      <c r="FI8"/>
    </row>
    <row r="9" spans="1:165" ht="14.55" customHeight="1" x14ac:dyDescent="0.3">
      <c r="A9" s="2" t="str">
        <f>Passenger_PNR[[#This Row],[RawSingleApisCharRep2]]</f>
        <v>NAD+FL+++NUWWARRAH:WASEM'
ATT+2++F'
DTM+329:850822'
LOC+174+EGY'
NAT+2+EGY'
RFF+AVF:P3HPUN'
RFF+SEA:74B'
DOC+P+F980648'
DTM+36:'
LOC+91+EGY'</v>
      </c>
      <c r="B9" s="2" t="str">
        <f ca="1">Passenger_PNR[[#This Row],[RawIndividualApisCharRep2]]</f>
        <v>NAD+FL+++NUWWARRAH:WASEM'
ATT+2++F'
DTM+329:850822'
LOC+174+EGY'
NAT+2+EGY'
RFF+AVF:P3HPUN'
RFF+SEA:74B'
DOC+P+F980648'
DTM+36:'
LOC+91+EGY'
CNT+42:10'
UNT+23+53371718146010'
UNZ+1+123456789'</v>
      </c>
      <c r="C9" s="2" t="str">
        <f ca="1">CONCATENATE(Passenger_PNR[[#This Row],[clobHeader]],Passenger_PNR[[#This Row],[pr]],Passenger_PNR[[#This Row],[clobFooter]])</f>
        <v xml:space="preserve">NAD+ZZZ'
RFF+AVF:P3HPUN'RFF+ABO:3E119F'
</v>
      </c>
      <c r="D9">
        <f>ROW(Passenger_PNR[[#This Row],[rowNumber]])-1</f>
        <v>8</v>
      </c>
      <c r="E9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9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NUWWARRAH</v>
      </c>
      <c r="G9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WASEM</v>
      </c>
      <c r="H9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9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31281</v>
      </c>
      <c r="J9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F</v>
      </c>
      <c r="K9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EGY</v>
      </c>
      <c r="L9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9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EGY</v>
      </c>
      <c r="N9" s="83" t="str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F980648</v>
      </c>
      <c r="O9" s="33" t="str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Null~Value</v>
      </c>
      <c r="P9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9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9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9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9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9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9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P3HPUN</v>
      </c>
      <c r="W9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NAD+FL+++NUWWARRAH:WASEM'</v>
      </c>
      <c r="X9" s="2" t="str">
        <f>IF(Passenger_PNR[[#This Row],[gender]]="Null~Value","",CONCATENATE(CHAR(10),"ATT+2++",Passenger_PNR[[#This Row],[gender]],"'"))</f>
        <v xml:space="preserve">
ATT+2++F'</v>
      </c>
      <c r="Y9" s="2" t="str">
        <f>IF(Passenger_PNR[[#This Row],[dateOfBIrth]]="Null~Value","",CONCATENATE(CHAR(10),"DTM+329:",TEXT(Passenger_PNR[[#This Row],[dateOfBIrth]],"yymmdd"),"'"))</f>
        <v xml:space="preserve">
DTM+329:850822'</v>
      </c>
      <c r="Z9" s="2" t="str">
        <f>IF(Passenger_PNR[[#This Row],[embarkation]]="Null~Value","",CONCATENATE(CHAR(10),"LOC+178+",Passenger_PNR[[#This Row],[embarkation]],"'"))</f>
        <v/>
      </c>
      <c r="AA9" s="2" t="str">
        <f>IF(Passenger_PNR[[#This Row],[debarkation]]="Null~Value","",CONCATENATE(CHAR(10),"LOC+179+",Passenger_PNR[[#This Row],[debarkation]],"'"))</f>
        <v/>
      </c>
      <c r="AB9" s="2" t="str">
        <f>IF(Passenger_PNR[[#This Row],[nationality]]="Null~Value","",CONCATENATE(CHAR(10),"NAT+2+",Passenger_PNR[[#This Row],[nationality]],"'"))</f>
        <v xml:space="preserve">
NAT+2+EGY'</v>
      </c>
      <c r="AC9" s="2" t="str">
        <f>CONCATENATE(CHAR(10),"DOC+",Passenger_PNR[[#This Row],[documentTypePrimary]],"+",Passenger_PNR[[#This Row],[documentNumberPrimary]],"'")</f>
        <v xml:space="preserve">
DOC+P+F980648'</v>
      </c>
      <c r="AD9" s="2" t="str">
        <f>CONCATENATE(CHAR(10),"DTM+36:",TEXT(Passenger_PNR[[#This Row],[documentExpirationPrimary]],"yymmdd"),"'")</f>
        <v xml:space="preserve">
DTM+36:Null~Value'</v>
      </c>
      <c r="AE9" s="2" t="str">
        <f>CONCATENATE(CHAR(10),"LOC+91","+",Passenger_PNR[[#This Row],[documentIssuanceCountryPrimary]],"'")</f>
        <v xml:space="preserve">
LOC+91+EGY'</v>
      </c>
      <c r="AF9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9" s="2" t="str">
        <f>IF(Passenger_PNR[[#This Row],[documentExpirationDateSecondary]]="Null~Value","",CONCATENATE(CHAR(10),"DTM+36:",TEXT(Passenger_PNR[[#This Row],[documentExpirationDateSecondary]],"yymmdd"),"'"))</f>
        <v/>
      </c>
      <c r="AH9" s="2" t="str">
        <f>IF(Passenger_PNR[[#This Row],[documentIssuanceCountrySecondary]]="Null~Value","",CONCATENATE(CHAR(10),"LOC+91+",Passenger_PNR[[#This Row],[documentIssuanceCountrySecondary]],"'"))</f>
        <v/>
      </c>
      <c r="AI9" s="2" t="str">
        <f>CONCATENATE(CHAR(10),"LOC+174+",Passenger_PNR[[#This Row],[nationality]],"'")</f>
        <v xml:space="preserve">
LOC+174+EGY'</v>
      </c>
      <c r="AJ9" s="2" t="str">
        <f>IF(Passenger_PNR[[#This Row],[pnrRecordLocatorNumber]]="Null~Value","",CONCATENATE(CHAR(10),"RFF+AVF:",Passenger_PNR[[#This Row],[pnrRecordLocatorNumber]],"'"))</f>
        <v xml:space="preserve">
RFF+AVF:P3HPUN'</v>
      </c>
      <c r="AK9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FWASEMNUWWARRAH31281EGYF980648Null~Value</v>
      </c>
      <c r="AL9" s="2" t="str">
        <f ca="1">CONCATENATE("RFF+ABO:",LEFT(Passenger_PNR[[#This Row],[PassengerTVLHash]],6),"'",CHAR(10))</f>
        <v xml:space="preserve">RFF+ABO:3E119F'
</v>
      </c>
      <c r="AM9" s="2" t="str">
        <f ca="1">hash12(CONCATENATE(Passenger_PNR[[#This Row],[Entity Match]],Home!$C$124))</f>
        <v>3E119FA420FA</v>
      </c>
      <c r="AN9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74B</v>
      </c>
      <c r="AO9" s="2" t="str">
        <f>IF(Passenger_PNR[[#This Row],[seatAssignment]]="Null~Value","",CONCATENATE(CHAR(10),"RFF+SEA:",Passenger_PNR[[#This Row],[seatAssignment]],"'"))</f>
        <v xml:space="preserve">
RFF+SEA:74B'</v>
      </c>
      <c r="AP9" s="2" t="str">
        <f>Home!$C$66</f>
        <v>YY</v>
      </c>
      <c r="AQ9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9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9" s="2" t="str">
        <f>IF(Passenger_PNR[[#This Row],[bagCount]]="Null~Value","",CONCATENATE(CHAR(10),"MEA+CT++",Passenger_PNR[[#This Row],[bagCount]],"'"))</f>
        <v/>
      </c>
      <c r="AT9" s="2" t="str">
        <f>IF(Passenger_PNR[[#This Row],[combinedBagWeight(kg)]]="Null~Value","",CONCATENATE(CHAR(10),"MEA+WT++",Home!$C$93,":",Passenger_PNR[[#This Row],[combinedBagWeight(kg)]],"'"))</f>
        <v/>
      </c>
      <c r="AU9" s="2" t="str">
        <f>IF(1=Passenger_PNR[[#This Row],[rowNumber]],Home!$C$122,"")</f>
        <v/>
      </c>
      <c r="AV9" s="2" t="str">
        <f>IF(MAX(Passenger_PNR[rowNumber])=Passenger_PNR[[#This Row],[rowNumber]],Home!$C$133,"")</f>
        <v/>
      </c>
      <c r="AW9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NAD+FL+++NUWWARRAH:WASEM'
ATT+2++F'
DTM+329:850822'
LOC+174+EGY'
NAT+2+EGY'
RFF+AVF:P3HPUN'
RFF+SEA:74B'
DOC+P+F980648'
DTM+36:NULL~VALUE'
LOC+91+EGY'</v>
      </c>
      <c r="AX9" s="2" t="str">
        <f ca="1">CONCATENATE("NAD+ZZZ'",Passenger_PNR[[#This Row],[PNR Record Locator]],Passenger_PNR[[#This Row],[ABO Code]])</f>
        <v xml:space="preserve">NAD+ZZZ'
RFF+AVF:P3HPUN'RFF+ABO:3E119F'
</v>
      </c>
      <c r="AY9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9" s="2" t="str">
        <f>IF(Passenger_PNR[[#This Row],[rowNumber]]=MAX(Passenger_PNR[rowNumber]),CONCATENATE("CNT+42:7’
UNT+31+5755176'
UNE+1+1'
UNZ+1+0000001’"),"")</f>
        <v/>
      </c>
      <c r="BA9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P3HPUN</v>
      </c>
      <c r="BB9" s="2">
        <f>LEN(Passenger_PNR[[#This Row],[Contents]])-LEN(SUBSTITUTE(Passenger_PNR[[#This Row],[Contents]],"'",""))</f>
        <v>10</v>
      </c>
      <c r="BC9" s="2">
        <f>SUMIFS(Passenger_PNR[segmentCount],Passenger_PNR[rowNumber],"&lt;="&amp;Passenger_PNR[[#This Row],[rowNumber]])</f>
        <v>87</v>
      </c>
      <c r="BD9" s="2">
        <f ca="1">MOD(Passenger_PNR[[#This Row],[sumtotal]],configSettings!$B$22)</f>
        <v>40</v>
      </c>
      <c r="BE9" s="2">
        <f ca="1">IF(OFFSET(Passenger_PNR[[#This Row],[Column5]],-1,0)&gt;Passenger_PNR[[#This Row],[Column5]],1,0)</f>
        <v>0</v>
      </c>
      <c r="BF9" s="2">
        <f ca="1">IF(Passenger_PNR[[#This Row],[rowNumber]]=MAX(Passenger_PNR[rowNumber]),1,IF(OFFSET(Passenger_PNR[[#This Row],[apisMessageGroup]],1,0)&gt;Passenger_PNR[[#This Row],[apisMessageGroup]],1,0))</f>
        <v>1</v>
      </c>
      <c r="BG9" s="2">
        <f ca="1">SUMIFS(Passenger_PNR[apisMessageHeader],Passenger_PNR[rowNumber],"&lt;="&amp;Passenger_PNR[[#This Row],[rowNumber]])</f>
        <v>2</v>
      </c>
      <c r="BH9" s="2">
        <f ca="1">COUNTIFS(Passenger_PNR[apisMessageGroup],"="&amp;Passenger_PNR[[#This Row],[apisMessageGroup]])</f>
        <v>4</v>
      </c>
      <c r="BI9" s="2" t="str">
        <f ca="1">CONCATENATE(Passenger_PNR[[#This Row],[newHeader2]],Passenger_PNR[[#This Row],[newContents]],Passenger_PNR[[#This Row],[newFooter2]])</f>
        <v>NAD+FL+++NUWWARRAH:WASEM'
ATT+2++F'
DTM+329:850822'
LOC+174+EGY'
NAT+2+EGY'
RFF+AVF:P3HPUN'
RFF+SEA:74B'
DOC+P+F980648'
DTM+36:'
LOC+91+EGY'
CNT+42:10'
UNT+23+53371718146010'
UNZ+1+123456789'</v>
      </c>
      <c r="BJ9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NAD+FL+++NUWWARRAH:WASEM'
ATT+2++F'
DTM+329:850822'
LOC+174+EGY'
NAT+2+EGY'
RFF+AVF:P3HPUN'
RFF+SEA:74B'
DOC+P+F980648'
DTM+36:'
LOC+91+EGY'</v>
      </c>
      <c r="BK9" s="2" t="str">
        <f ca="1">IF(Passenger_PNR[[#This Row],[apisMessageHeader]]=1,Home!$C$122,"")</f>
        <v/>
      </c>
      <c r="BL9" s="2" t="str">
        <f ca="1">IF(Passenger_PNR[[#This Row],[apisMessageFooter]]=1,Home!$C$133,"")</f>
        <v xml:space="preserve">
CNT+42:10'
UNT+23+53371718146010'
UNZ+1+123456789'</v>
      </c>
      <c r="BM9" s="2" t="str">
        <f>SUBSTITUTE(CONCATENATE(Passenger_PNR[[#This Row],[Attach Header]],Passenger_PNR[[#This Row],[Contents]],Passenger_PNR[[#This Row],[Attach Footer]]),"NULL~VALUE","")</f>
        <v>NAD+FL+++NUWWARRAH:WASEM'
ATT+2++F'
DTM+329:850822'
LOC+174+EGY'
NAT+2+EGY'
RFF+AVF:P3HPUN'
RFF+SEA:74B'
DOC+P+F980648'
DTM+36:'
LOC+91+EGY'</v>
      </c>
      <c r="BN9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NAD+FL+++NUWWARRAH:WASEM'
ATT+2++F'
DTM+329:850822'
LOC+174+EGY'
NAT+2+EGY'
RFF+AVF:P3HPUN'
RFF+SEA:74B'
DOC+P+F980648'
DTM+36:'
LOC+91+EGY'</v>
      </c>
      <c r="BO9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NAD+FL+++NUWWARRAH:WASEM'
ATT+2++F'
DTM+329:850822'
LOC+174+EGY'
NAT+2+EGY'
RFF+AVF:P3HPUN'
RFF+SEA:74B'
DOC+P+F980648'
DTM+36:'
LOC+91+EGY'</v>
      </c>
      <c r="BP9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NAD+FL+++NUWWARRAH:WASEM'
ATT+2++F'
DTM+329:850822'
LOC+174+EGY'
NAT+2+EGY'
RFF+AVF:P3HPUN'
RFF+SEA:74B'
DOC+P+F980648'
DTM+36:'
LOC+91+EGY'
CNT+42:10'
UNT+23+53371718146010'
UNZ+1+123456789'</v>
      </c>
      <c r="BQ9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NAD+FL+++NUWWARRAH:WASEM'
ATT+2++F'
DTM+329:850822'
LOC+174+EGY'
NAT+2+EGY'
RFF+AVF:P3HPUN'
RFF+SEA:74B'
DOC+P+F980648'
DTM+36:'
LOC+91+EGY'
CNT+42:10'
UNT+23+53371718146010'
UNZ+1+123456789'</v>
      </c>
      <c r="BR9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NAD+FL+++NUWWARRAH:WASEM'
ATT+2++F'
DTM+329:850822'
LOC+174+EGY'
NAT+2+EGY'
RFF+AVF:P3HPUN'
RFF+SEA:74B'
DOC+P+F980648'
DTM+36:'
LOC+91+EGY'
CNT+42:10'
UNT+23+53371718146010'
UNZ+1+123456789'</v>
      </c>
      <c r="DO9"/>
      <c r="FI9"/>
    </row>
    <row r="10" spans="1:165" ht="14.55" customHeight="1" x14ac:dyDescent="0.3">
      <c r="A10" s="2" t="str">
        <f>Passenger_PNR[[#This Row],[RawSingleApisCharRep2]]</f>
        <v>NAD+FL+++RAIMO:LAURILA'
ATT+2++F'
DTM+329:470822'
LOC+174+FIN'
NAT+2+FIN'
RFF+AVF:HCTVT5'
RFF+SEA:22G'
DOC+P+11490614'
DTM+36:'
LOC+91+FIN'</v>
      </c>
      <c r="B10" s="2" t="str">
        <f ca="1">Passenger_PNR[[#This Row],[RawIndividualApisCharRep2]]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NAD+FL+++RAIMO:LAURILA'
ATT+2++F'
DTM+329:470822'
LOC+174+FIN'
NAT+2+FIN'
RFF+AVF:HCTVT5'
RFF+SEA:22G'
DOC+P+11490614'
DTM+36:'
LOC+91+FIN'</v>
      </c>
      <c r="C10" s="2" t="str">
        <f ca="1">CONCATENATE(Passenger_PNR[[#This Row],[clobHeader]],Passenger_PNR[[#This Row],[pr]],Passenger_PNR[[#This Row],[clobFooter]])</f>
        <v xml:space="preserve">NAD+ZZZ'
RFF+AVF:HCTVT5'RFF+ABO:D1011B'
</v>
      </c>
      <c r="D10">
        <f>ROW(Passenger_PNR[[#This Row],[rowNumber]])-1</f>
        <v>9</v>
      </c>
      <c r="E10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10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RAIMO</v>
      </c>
      <c r="G10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LAURILA</v>
      </c>
      <c r="H10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10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17401</v>
      </c>
      <c r="J10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F</v>
      </c>
      <c r="K10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FIN</v>
      </c>
      <c r="L10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10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FIN</v>
      </c>
      <c r="N10" s="83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11490614</v>
      </c>
      <c r="O10" s="33" t="str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Null~Value</v>
      </c>
      <c r="P10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10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10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10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10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10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10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HCTVT5</v>
      </c>
      <c r="W10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NAD+FL+++RAIMO:LAURILA'</v>
      </c>
      <c r="X10" s="2" t="str">
        <f>IF(Passenger_PNR[[#This Row],[gender]]="Null~Value","",CONCATENATE(CHAR(10),"ATT+2++",Passenger_PNR[[#This Row],[gender]],"'"))</f>
        <v xml:space="preserve">
ATT+2++F'</v>
      </c>
      <c r="Y10" s="2" t="str">
        <f>IF(Passenger_PNR[[#This Row],[dateOfBIrth]]="Null~Value","",CONCATENATE(CHAR(10),"DTM+329:",TEXT(Passenger_PNR[[#This Row],[dateOfBIrth]],"yymmdd"),"'"))</f>
        <v xml:space="preserve">
DTM+329:470822'</v>
      </c>
      <c r="Z10" s="2" t="str">
        <f>IF(Passenger_PNR[[#This Row],[embarkation]]="Null~Value","",CONCATENATE(CHAR(10),"LOC+178+",Passenger_PNR[[#This Row],[embarkation]],"'"))</f>
        <v/>
      </c>
      <c r="AA10" s="2" t="str">
        <f>IF(Passenger_PNR[[#This Row],[debarkation]]="Null~Value","",CONCATENATE(CHAR(10),"LOC+179+",Passenger_PNR[[#This Row],[debarkation]],"'"))</f>
        <v/>
      </c>
      <c r="AB10" s="2" t="str">
        <f>IF(Passenger_PNR[[#This Row],[nationality]]="Null~Value","",CONCATENATE(CHAR(10),"NAT+2+",Passenger_PNR[[#This Row],[nationality]],"'"))</f>
        <v xml:space="preserve">
NAT+2+FIN'</v>
      </c>
      <c r="AC10" s="2" t="str">
        <f>CONCATENATE(CHAR(10),"DOC+",Passenger_PNR[[#This Row],[documentTypePrimary]],"+",Passenger_PNR[[#This Row],[documentNumberPrimary]],"'")</f>
        <v xml:space="preserve">
DOC+P+11490614'</v>
      </c>
      <c r="AD10" s="2" t="str">
        <f>CONCATENATE(CHAR(10),"DTM+36:",TEXT(Passenger_PNR[[#This Row],[documentExpirationPrimary]],"yymmdd"),"'")</f>
        <v xml:space="preserve">
DTM+36:Null~Value'</v>
      </c>
      <c r="AE10" s="2" t="str">
        <f>CONCATENATE(CHAR(10),"LOC+91","+",Passenger_PNR[[#This Row],[documentIssuanceCountryPrimary]],"'")</f>
        <v xml:space="preserve">
LOC+91+FIN'</v>
      </c>
      <c r="AF10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10" s="2" t="str">
        <f>IF(Passenger_PNR[[#This Row],[documentExpirationDateSecondary]]="Null~Value","",CONCATENATE(CHAR(10),"DTM+36:",TEXT(Passenger_PNR[[#This Row],[documentExpirationDateSecondary]],"yymmdd"),"'"))</f>
        <v/>
      </c>
      <c r="AH10" s="2" t="str">
        <f>IF(Passenger_PNR[[#This Row],[documentIssuanceCountrySecondary]]="Null~Value","",CONCATENATE(CHAR(10),"LOC+91+",Passenger_PNR[[#This Row],[documentIssuanceCountrySecondary]],"'"))</f>
        <v/>
      </c>
      <c r="AI10" s="2" t="str">
        <f>CONCATENATE(CHAR(10),"LOC+174+",Passenger_PNR[[#This Row],[nationality]],"'")</f>
        <v xml:space="preserve">
LOC+174+FIN'</v>
      </c>
      <c r="AJ10" s="2" t="str">
        <f>IF(Passenger_PNR[[#This Row],[pnrRecordLocatorNumber]]="Null~Value","",CONCATENATE(CHAR(10),"RFF+AVF:",Passenger_PNR[[#This Row],[pnrRecordLocatorNumber]],"'"))</f>
        <v xml:space="preserve">
RFF+AVF:HCTVT5'</v>
      </c>
      <c r="AK10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FLAURILARAIMO17401FIN11490614Null~Value</v>
      </c>
      <c r="AL10" s="2" t="str">
        <f ca="1">CONCATENATE("RFF+ABO:",LEFT(Passenger_PNR[[#This Row],[PassengerTVLHash]],6),"'",CHAR(10))</f>
        <v xml:space="preserve">RFF+ABO:D1011B'
</v>
      </c>
      <c r="AM10" s="2" t="str">
        <f ca="1">hash12(CONCATENATE(Passenger_PNR[[#This Row],[Entity Match]],Home!$C$124))</f>
        <v>D1011B1AB812</v>
      </c>
      <c r="AN10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22G</v>
      </c>
      <c r="AO10" s="2" t="str">
        <f>IF(Passenger_PNR[[#This Row],[seatAssignment]]="Null~Value","",CONCATENATE(CHAR(10),"RFF+SEA:",Passenger_PNR[[#This Row],[seatAssignment]],"'"))</f>
        <v xml:space="preserve">
RFF+SEA:22G'</v>
      </c>
      <c r="AP10" s="2" t="str">
        <f>Home!$C$66</f>
        <v>YY</v>
      </c>
      <c r="AQ10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10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10" s="2" t="str">
        <f>IF(Passenger_PNR[[#This Row],[bagCount]]="Null~Value","",CONCATENATE(CHAR(10),"MEA+CT++",Passenger_PNR[[#This Row],[bagCount]],"'"))</f>
        <v/>
      </c>
      <c r="AT10" s="2" t="str">
        <f>IF(Passenger_PNR[[#This Row],[combinedBagWeight(kg)]]="Null~Value","",CONCATENATE(CHAR(10),"MEA+WT++",Home!$C$93,":",Passenger_PNR[[#This Row],[combinedBagWeight(kg)]],"'"))</f>
        <v/>
      </c>
      <c r="AU10" s="2" t="str">
        <f>IF(1=Passenger_PNR[[#This Row],[rowNumber]],Home!$C$122,"")</f>
        <v/>
      </c>
      <c r="AV10" s="2" t="str">
        <f>IF(MAX(Passenger_PNR[rowNumber])=Passenger_PNR[[#This Row],[rowNumber]],Home!$C$133,"")</f>
        <v/>
      </c>
      <c r="AW10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NAD+FL+++RAIMO:LAURILA'
ATT+2++F'
DTM+329:470822'
LOC+174+FIN'
NAT+2+FIN'
RFF+AVF:HCTVT5'
RFF+SEA:22G'
DOC+P+11490614'
DTM+36:NULL~VALUE'
LOC+91+FIN'</v>
      </c>
      <c r="AX10" s="2" t="str">
        <f ca="1">CONCATENATE("NAD+ZZZ'",Passenger_PNR[[#This Row],[PNR Record Locator]],Passenger_PNR[[#This Row],[ABO Code]])</f>
        <v xml:space="preserve">NAD+ZZZ'
RFF+AVF:HCTVT5'RFF+ABO:D1011B'
</v>
      </c>
      <c r="AY10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10" s="2" t="str">
        <f>IF(Passenger_PNR[[#This Row],[rowNumber]]=MAX(Passenger_PNR[rowNumber]),CONCATENATE("CNT+42:7’
UNT+31+5755176'
UNE+1+1'
UNZ+1+0000001’"),"")</f>
        <v/>
      </c>
      <c r="BA10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HCTVT5</v>
      </c>
      <c r="BB10" s="2">
        <f>LEN(Passenger_PNR[[#This Row],[Contents]])-LEN(SUBSTITUTE(Passenger_PNR[[#This Row],[Contents]],"'",""))</f>
        <v>10</v>
      </c>
      <c r="BC10" s="2">
        <f>SUMIFS(Passenger_PNR[segmentCount],Passenger_PNR[rowNumber],"&lt;="&amp;Passenger_PNR[[#This Row],[rowNumber]])</f>
        <v>97</v>
      </c>
      <c r="BD10" s="2">
        <f ca="1">MOD(Passenger_PNR[[#This Row],[sumtotal]],configSettings!$B$22)</f>
        <v>3</v>
      </c>
      <c r="BE10" s="2">
        <f ca="1">IF(OFFSET(Passenger_PNR[[#This Row],[Column5]],-1,0)&gt;Passenger_PNR[[#This Row],[Column5]],1,0)</f>
        <v>1</v>
      </c>
      <c r="BF10" s="2">
        <f ca="1">IF(Passenger_PNR[[#This Row],[rowNumber]]=MAX(Passenger_PNR[rowNumber]),1,IF(OFFSET(Passenger_PNR[[#This Row],[apisMessageGroup]],1,0)&gt;Passenger_PNR[[#This Row],[apisMessageGroup]],1,0))</f>
        <v>0</v>
      </c>
      <c r="BG10" s="2">
        <f ca="1">SUMIFS(Passenger_PNR[apisMessageHeader],Passenger_PNR[rowNumber],"&lt;="&amp;Passenger_PNR[[#This Row],[rowNumber]])</f>
        <v>3</v>
      </c>
      <c r="BH10" s="2">
        <f ca="1">COUNTIFS(Passenger_PNR[apisMessageGroup],"="&amp;Passenger_PNR[[#This Row],[apisMessageGroup]])</f>
        <v>2</v>
      </c>
      <c r="BI10" s="2" t="str">
        <f ca="1">CONCATENATE(Passenger_PNR[[#This Row],[newHeader2]],Passenger_PNR[[#This Row],[newContents]],Passenger_PNR[[#This Row],[newFooter2]])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NAD+FL+++RAIMO:LAURILA'
ATT+2++F'
DTM+329:470822'
LOC+174+FIN'
NAT+2+FIN'
RFF+AVF:HCTVT5'
RFF+SEA:22G'
DOC+P+11490614'
DTM+36:'
LOC+91+FIN'</v>
      </c>
      <c r="BJ10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NAD+FL+++RAIMO:LAURILA'
ATT+2++F'
DTM+329:470822'
LOC+174+FIN'
NAT+2+FIN'
RFF+AVF:HCTVT5'
RFF+SEA:22G'
DOC+P+11490614'
DTM+36:'
LOC+91+FIN'</v>
      </c>
      <c r="BK10" s="2" t="str">
        <f ca="1">IF(Passenger_PNR[[#This Row],[apisMessageHeader]]=1,Home!$C$122,"")</f>
        <v xml:space="preserve">UNB+UNOA:4+SAMPLE CARRIER NAME:ZZ+HDQCH2X:ZZ+190802:1700+123456789++PAXLST'
UNH+53371718146010+PAXLST:D:02B:UN:IATA'
BGM+745'
NAD+MS+++WORLD CUSTOMS ORGANIZATION BRU'
COM+17037919383:TE'
TDT+20+YY123'
LOC+125+IAD'
DTM+189:1908021200:201'
LOC+87+BRU'
DTM+232:1908031322:201'
</v>
      </c>
      <c r="BL10" s="2" t="str">
        <f ca="1">IF(Passenger_PNR[[#This Row],[apisMessageFooter]]=1,Home!$C$133,"")</f>
        <v/>
      </c>
      <c r="BM10" s="2" t="str">
        <f>SUBSTITUTE(CONCATENATE(Passenger_PNR[[#This Row],[Attach Header]],Passenger_PNR[[#This Row],[Contents]],Passenger_PNR[[#This Row],[Attach Footer]]),"NULL~VALUE","")</f>
        <v>NAD+FL+++RAIMO:LAURILA'
ATT+2++F'
DTM+329:470822'
LOC+174+FIN'
NAT+2+FIN'
RFF+AVF:HCTVT5'
RFF+SEA:22G'
DOC+P+11490614'
DTM+36:'
LOC+91+FIN'</v>
      </c>
      <c r="BN10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NAD+FL+++RAIMO:LAURILA'
ATT+2++F'
DTM+329:470822'
LOC+174+FIN'
NAT+2+FIN'
RFF+AVF:HCTVT5'
RFF+SEA:22G'
DOC+P+11490614'
DTM+36:'
LOC+91+FIN'</v>
      </c>
      <c r="BO10" s="2" t="str">
        <f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NAD+FL+++RAIMO:LAURILA'
ATT+2++F'
DTM+329:470822'
LOC+174+FIN'
NAT+2+FIN'
RFF+AVF:HCTVT5'
RFF+SEA:22G'
DOC+P+11490614'
DTM+36:'
LOC+91+FIN'</v>
      </c>
      <c r="BP10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NAD+FL+++RAIMO:LAURILA'
ATT+2++F'
DTM+329:470822'
LOC+174+FIN'
NAT+2+FIN'
RFF+AVF:HCTVT5'
RFF+SEA:22G'
DOC+P+11490614'
DTM+36:'
LOC+91+FIN'</v>
      </c>
      <c r="BQ10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NAD+FL+++RAIMO:LAURILA'
ATT+2++F'
DTM+329:470822'
LOC+174+FIN'
NAT+2+FIN'
RFF+AVF:HCTVT5'
RFF+SEA:22G'
DOC+P+11490614'
DTM+36:'
LOC+91+FIN'</v>
      </c>
      <c r="BR10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UNB+UNOA:4+SAMPLE CARRIER NAME:ZZ+HDQCH2X:ZZ+190802:1700+123456789++PAXLST'
UNH+53371718146010+PAXLST:D:02B:UN:IATA'
BGM+745'
NAD+MS+++WORLD CUSTOMS ORGANIZATION BRU'
COM+17037919383:TE'
TDT+20+YY123'
LOC+125+IAD'
DTM+189:1908021200:201'
LOC+87+BRU'
DTM+232:1908031322:201'
NAD+FL+++RAIMO:LAURILA'
ATT+2++F'
DTM+329:470822'
LOC+174+FIN'
NAT+2+FIN'
RFF+AVF:HCTVT5'
RFF+SEA:22G'
DOC+P+11490614'
DTM+36:'
LOC+91+FIN'</v>
      </c>
      <c r="DO10"/>
      <c r="FI10"/>
    </row>
    <row r="11" spans="1:165" ht="14.55" customHeight="1" x14ac:dyDescent="0.3">
      <c r="A11" s="2" t="str">
        <f ca="1">Passenger_PNR[[#This Row],[RawSingleApisCharRep2]]</f>
        <v>NAD+FL+++TOBIAS:DECKER'
ATT+2++M'
DTM+329:181203'
LOC+174+DEU'
NAT+2+DEU'
RFF+AVF:HUJD8S'
RFF+SEA:46E'
DOC+P+X6091008'
DTM+36:'
LOC+91+DEU'
CNT+42:10'
UNT+23+53371718146010'
UNZ+1+123456789'</v>
      </c>
      <c r="B11" s="2" t="str">
        <f ca="1">Passenger_PNR[[#This Row],[RawIndividualApisCharRep2]]</f>
        <v>NAD+FL+++TOBIAS:DECKER'
ATT+2++M'
DTM+329:181203'
LOC+174+DEU'
NAT+2+DEU'
RFF+AVF:HUJD8S'
RFF+SEA:46E'
DOC+P+X6091008'
DTM+36:'
LOC+91+DEU'
CNT+42:10'
UNT+23+53371718146010'
UNZ+1+123456789'</v>
      </c>
      <c r="C11" s="2" t="str">
        <f ca="1">CONCATENATE(Passenger_PNR[[#This Row],[clobHeader]],Passenger_PNR[[#This Row],[pr]],Passenger_PNR[[#This Row],[clobFooter]])</f>
        <v>NAD+ZZZ'
RFF+AVF:HUJD8S'RFF+ABO:A221E5'
CNT+42:7’
UNT+31+5755176'
UNE+1+1'
UNZ+1+0000001’</v>
      </c>
      <c r="D11">
        <f>ROW(Passenger_PNR[[#This Row],[rowNumber]])-1</f>
        <v>10</v>
      </c>
      <c r="E11" s="2" t="str">
        <f>IF(ISBLANK(INDEX(ManifestGeneratorInput[passengerType],MATCH(Passenger_PNR[[#This Row],[rowNumber]],ManifestGeneratorInput[RowNo.],0))),"Null~Value",INDEX(ManifestGeneratorInput[passengerType],MATCH(Passenger_PNR[[#This Row],[rowNumber]],ManifestGeneratorInput[RowNo.],0)))</f>
        <v>Passenger</v>
      </c>
      <c r="F11" s="2" t="str">
        <f>IF(ISBLANK(INDEX(ManifestGeneratorInput[lastName],MATCH(Passenger_PNR[[#This Row],[rowNumber]],ManifestGeneratorInput[RowNo.],0))),"Null~Value",INDEX(ManifestGeneratorInput[lastName],MATCH(Passenger_PNR[[#This Row],[rowNumber]],ManifestGeneratorInput[RowNo.],0)))</f>
        <v>TOBIAS</v>
      </c>
      <c r="G11" s="2" t="str">
        <f>IF(ISBLANK(INDEX(ManifestGeneratorInput[firstName],MATCH(Passenger_PNR[[#This Row],[rowNumber]],ManifestGeneratorInput[RowNo.],0))),"Null~Value",INDEX(ManifestGeneratorInput[firstName],MATCH(Passenger_PNR[[#This Row],[rowNumber]],ManifestGeneratorInput[RowNo.],0)))</f>
        <v>DECKER</v>
      </c>
      <c r="H11" s="95" t="str">
        <f>IF(ISBLANK(INDEX(ManifestGeneratorInput[middleName],MATCH(Passenger_PNR[[#This Row],[rowNumber]],ManifestGeneratorInput[RowNo.],0))),"Null~Value",INDEX(ManifestGeneratorInput[middleName],MATCH(Passenger_PNR[[#This Row],[rowNumber]],ManifestGeneratorInput[RowNo.],0)))</f>
        <v>Null~Value</v>
      </c>
      <c r="I11" s="85">
        <f>IF(ISBLANK(INDEX(ManifestGeneratorInput[dateOfBirth],MATCH(Passenger_PNR[[#This Row],[rowNumber]],ManifestGeneratorInput[RowNo.],0))),"Null~Value",INDEX(ManifestGeneratorInput[dateOfBirth],MATCH(Passenger_PNR[[#This Row],[rowNumber]],ManifestGeneratorInput[RowNo.],0)))</f>
        <v>6912</v>
      </c>
      <c r="J11" s="85" t="str">
        <f>IF(ISBLANK(INDEX(ManifestGeneratorInput[gender],MATCH(Passenger_PNR[[#This Row],[rowNumber]],ManifestGeneratorInput[RowNo.],0))),"Null~Value",INDEX(ManifestGeneratorInput[gender],MATCH(Passenger_PNR[[#This Row],[rowNumber]],ManifestGeneratorInput[RowNo.],0)))</f>
        <v>M</v>
      </c>
      <c r="K11" s="2" t="str">
        <f>IF(ISBLANK(INDEX(ManifestGeneratorInput[nationality],MATCH(Passenger_PNR[[#This Row],[rowNumber]],ManifestGeneratorInput[RowNo.],0))),"Null~Value",INDEX(ManifestGeneratorInput[nationality],MATCH(Passenger_PNR[[#This Row],[rowNumber]],ManifestGeneratorInput[RowNo.],0)))</f>
        <v>DEU</v>
      </c>
      <c r="L11" s="2" t="str">
        <f>IF(INDEX(ManifestGeneratorInput[documentTypePrimary],MATCH(Passenger_PNR[[#This Row],[rowNumber]],ManifestGeneratorInput[RowNo.],0))=0,"Null~Value",INDEX(ManifestGeneratorInput[documentTypePrimary],MATCH(Passenger_PNR[[#This Row],[rowNumber]],ManifestGeneratorInput[RowNo.],0)))</f>
        <v>P</v>
      </c>
      <c r="M11" s="2" t="str">
        <f>IF(ISBLANK(INDEX(ManifestGeneratorInput[documentIssuanceCountryPrimary],MATCH(Passenger_PNR[[#This Row],[rowNumber]],ManifestGeneratorInput[RowNo.],0))),"Null~Value",INDEX(ManifestGeneratorInput[documentIssuanceCountryPrimary],MATCH(Passenger_PNR[[#This Row],[rowNumber]],ManifestGeneratorInput[RowNo.],0)))</f>
        <v>DEU</v>
      </c>
      <c r="N11" s="83" t="str">
        <f>IF(ISBLANK(INDEX(ManifestGeneratorInput[documentNumberPrimary],MATCH(Passenger_PNR[[#This Row],[rowNumber]],ManifestGeneratorInput[RowNo.],0))),"Null~Value",INDEX(ManifestGeneratorInput[documentNumberPrimary],MATCH(Passenger_PNR[[#This Row],[rowNumber]],ManifestGeneratorInput[RowNo.],0)))</f>
        <v>X6091008</v>
      </c>
      <c r="O11" s="33" t="str">
        <f>IF(ISBLANK(INDEX(ManifestGeneratorInput[documentExpirationPrimary],MATCH(Passenger_PNR[[#This Row],[rowNumber]],ManifestGeneratorInput[RowNo.],0))),"Null~Value",INDEX(ManifestGeneratorInput[documentExpirationPrimary],MATCH(Passenger_PNR[[#This Row],[rowNumber]],ManifestGeneratorInput[RowNo.],0)))</f>
        <v>Null~Value</v>
      </c>
      <c r="P11" s="85" t="str">
        <f>IF(INDEX(ManifestGeneratorInput[documentTypeSecondary],MATCH(Passenger_PNR[[#This Row],[rowNumber]],ManifestGeneratorInput[RowNo.],0))=0,"Null~Value",INDEX(ManifestGeneratorInput[documentTypeSecondary],MATCH(Passenger_PNR[[#This Row],[rowNumber]],ManifestGeneratorInput[RowNo.],0)))</f>
        <v>Null~Value</v>
      </c>
      <c r="Q11" s="83" t="str">
        <f>IF(ISBLANK(INDEX(ManifestGeneratorInput[documentIssuanceCountrySecondary],MATCH(Passenger_PNR[[#This Row],[rowNumber]],ManifestGeneratorInput[RowNo.],0))),"Null~Value",INDEX(ManifestGeneratorInput[documentIssuanceCountrySecondary],MATCH(Passenger_PNR[[#This Row],[rowNumber]],ManifestGeneratorInput[RowNo.],0)))</f>
        <v>Null~Value</v>
      </c>
      <c r="R11" s="83" t="str">
        <f>IF(INDEX(ManifestGeneratorInput[documentNumberSecondary],MATCH(Passenger_PNR[[#This Row],[rowNumber]],ManifestGeneratorInput[RowNo.],0))=0,"Null~Value",INDEX(ManifestGeneratorInput[documentNumberSecondary],MATCH(Passenger_PNR[[#This Row],[rowNumber]],ManifestGeneratorInput[RowNo.],0)))</f>
        <v>Null~Value</v>
      </c>
      <c r="S11" s="33" t="str">
        <f>IF(INDEX(ManifestGeneratorInput[documentExpirationSecondary],MATCH(Passenger_PNR[[#This Row],[rowNumber]],ManifestGeneratorInput[RowNo.],0))=0,"Null~Value",INDEX(ManifestGeneratorInput[documentExpirationSecondary],MATCH(Passenger_PNR[[#This Row],[rowNumber]],ManifestGeneratorInput[RowNo.],0)))</f>
        <v>Null~Value</v>
      </c>
      <c r="T11" s="85" t="str">
        <f>IF(ISBLANK(INDEX(ManifestGeneratorInput[embarkationPort],MATCH(Passenger_PNR[[#This Row],[rowNumber]],ManifestGeneratorInput[RowNo.],0))),"Null~Value",INDEX(ManifestGeneratorInput[embarkationPort],MATCH(Passenger_PNR[[#This Row],[rowNumber]],ManifestGeneratorInput[RowNo.],0)))</f>
        <v>Null~Value</v>
      </c>
      <c r="U11" s="85" t="str">
        <f>IF(ISBLANK(INDEX(ManifestGeneratorInput[debarkationPort],MATCH(Passenger_PNR[[#This Row],[rowNumber]],ManifestGeneratorInput[RowNo.],0))),"Null~Value",INDEX(ManifestGeneratorInput[debarkationPort],MATCH(Passenger_PNR[[#This Row],[rowNumber]],ManifestGeneratorInput[RowNo.],0)))</f>
        <v>Null~Value</v>
      </c>
      <c r="V11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HUJD8S</v>
      </c>
      <c r="W11" s="2" t="str">
        <f>CONCATENATE("NAD+",INDEX(PAX_Type2[Code],MATCH(Passenger_PNR[[#This Row],[passengerType]],PAX_Type2[Type],0)),"+++",Passenger_PNR[[#This Row],[lastName]],IF(Passenger_PNR[[#This Row],[firstName]]="Null~Value","",CONCATENATE(":",Passenger_PNR[[#This Row],[firstName]])),IF((Passenger_PNR[[#This Row],[middleName]])="Null~Value","",CONCATENATE(":",,Passenger_PNR[[#This Row],[middleName]])),"'")</f>
        <v>NAD+FL+++TOBIAS:DECKER'</v>
      </c>
      <c r="X11" s="2" t="str">
        <f>IF(Passenger_PNR[[#This Row],[gender]]="Null~Value","",CONCATENATE(CHAR(10),"ATT+2++",Passenger_PNR[[#This Row],[gender]],"'"))</f>
        <v xml:space="preserve">
ATT+2++M'</v>
      </c>
      <c r="Y11" s="2" t="str">
        <f>IF(Passenger_PNR[[#This Row],[dateOfBIrth]]="Null~Value","",CONCATENATE(CHAR(10),"DTM+329:",TEXT(Passenger_PNR[[#This Row],[dateOfBIrth]],"yymmdd"),"'"))</f>
        <v xml:space="preserve">
DTM+329:181203'</v>
      </c>
      <c r="Z11" s="2" t="str">
        <f>IF(Passenger_PNR[[#This Row],[embarkation]]="Null~Value","",CONCATENATE(CHAR(10),"LOC+178+",Passenger_PNR[[#This Row],[embarkation]],"'"))</f>
        <v/>
      </c>
      <c r="AA11" s="2" t="str">
        <f>IF(Passenger_PNR[[#This Row],[debarkation]]="Null~Value","",CONCATENATE(CHAR(10),"LOC+179+",Passenger_PNR[[#This Row],[debarkation]],"'"))</f>
        <v/>
      </c>
      <c r="AB11" s="2" t="str">
        <f>IF(Passenger_PNR[[#This Row],[nationality]]="Null~Value","",CONCATENATE(CHAR(10),"NAT+2+",Passenger_PNR[[#This Row],[nationality]],"'"))</f>
        <v xml:space="preserve">
NAT+2+DEU'</v>
      </c>
      <c r="AC11" s="2" t="str">
        <f>CONCATENATE(CHAR(10),"DOC+",Passenger_PNR[[#This Row],[documentTypePrimary]],"+",Passenger_PNR[[#This Row],[documentNumberPrimary]],"'")</f>
        <v xml:space="preserve">
DOC+P+X6091008'</v>
      </c>
      <c r="AD11" s="2" t="str">
        <f>CONCATENATE(CHAR(10),"DTM+36:",TEXT(Passenger_PNR[[#This Row],[documentExpirationPrimary]],"yymmdd"),"'")</f>
        <v xml:space="preserve">
DTM+36:Null~Value'</v>
      </c>
      <c r="AE11" s="2" t="str">
        <f>CONCATENATE(CHAR(10),"LOC+91","+",Passenger_PNR[[#This Row],[documentIssuanceCountryPrimary]],"'")</f>
        <v xml:space="preserve">
LOC+91+DEU'</v>
      </c>
      <c r="AF11" s="2" t="str">
        <f>IF(Passenger_PNR[[#This Row],[documentTypeSecondary]]="Null~Value","",CONCATENATE(CHAR(10),"DOC+",Passenger_PNR[[#This Row],[documentTypeSecondary]],"+",Passenger_PNR[[#This Row],[documentNumberSecondary]],"'"))</f>
        <v/>
      </c>
      <c r="AG11" s="2" t="str">
        <f>IF(Passenger_PNR[[#This Row],[documentExpirationDateSecondary]]="Null~Value","",CONCATENATE(CHAR(10),"DTM+36:",TEXT(Passenger_PNR[[#This Row],[documentExpirationDateSecondary]],"yymmdd"),"'"))</f>
        <v/>
      </c>
      <c r="AH11" s="2" t="str">
        <f>IF(Passenger_PNR[[#This Row],[documentIssuanceCountrySecondary]]="Null~Value","",CONCATENATE(CHAR(10),"LOC+91+",Passenger_PNR[[#This Row],[documentIssuanceCountrySecondary]],"'"))</f>
        <v/>
      </c>
      <c r="AI11" s="2" t="str">
        <f>CONCATENATE(CHAR(10),"LOC+174+",Passenger_PNR[[#This Row],[nationality]],"'")</f>
        <v xml:space="preserve">
LOC+174+DEU'</v>
      </c>
      <c r="AJ11" s="2" t="str">
        <f>IF(Passenger_PNR[[#This Row],[pnrRecordLocatorNumber]]="Null~Value","",CONCATENATE(CHAR(10),"RFF+AVF:",Passenger_PNR[[#This Row],[pnrRecordLocatorNumber]],"'"))</f>
        <v xml:space="preserve">
RFF+AVF:HUJD8S'</v>
      </c>
      <c r="AK11" s="2" t="str">
        <f>CONCATENATE(Passenger_PNR[[#This Row],[gender]],Passenger_PNR[[#This Row],[firstName]],Passenger_PNR[[#This Row],[lastName]],Passenger_PNR[[#This Row],[dateOfBIrth]],Passenger_PNR[[#This Row],[documentIssuanceCountryPrimary]],Passenger_PNR[[#This Row],[documentNumberPrimary]],Passenger_PNR[[#This Row],[documentExpirationPrimary]])</f>
        <v>MDECKERTOBIAS6912DEUX6091008Null~Value</v>
      </c>
      <c r="AL11" s="2" t="str">
        <f ca="1">CONCATENATE("RFF+ABO:",LEFT(Passenger_PNR[[#This Row],[PassengerTVLHash]],6),"'",CHAR(10))</f>
        <v xml:space="preserve">RFF+ABO:A221E5'
</v>
      </c>
      <c r="AM11" s="2" t="str">
        <f ca="1">hash12(CONCATENATE(Passenger_PNR[[#This Row],[Entity Match]],Home!$C$124))</f>
        <v>A221E52920FA</v>
      </c>
      <c r="AN11" s="2" t="str">
        <f>IF(ISBLANK(INDEX(ManifestGeneratorInput[seatAssignment],MATCH(Passenger_PNR[[#This Row],[rowNumber]],ManifestGeneratorInput[RowNo.],0))),"Null~Value",INDEX(ManifestGeneratorInput[seatAssignment],MATCH(Passenger_PNR[[#This Row],[rowNumber]],ManifestGeneratorInput[RowNo.],0)))</f>
        <v>46E</v>
      </c>
      <c r="AO11" s="2" t="str">
        <f>IF(Passenger_PNR[[#This Row],[seatAssignment]]="Null~Value","",CONCATENATE(CHAR(10),"RFF+SEA:",Passenger_PNR[[#This Row],[seatAssignment]],"'"))</f>
        <v xml:space="preserve">
RFF+SEA:46E'</v>
      </c>
      <c r="AP11" s="2" t="str">
        <f>Home!$C$66</f>
        <v>YY</v>
      </c>
      <c r="AQ11" s="2" t="str">
        <f>IF(ISBLANK(INDEX(ManifestGeneratorInput[bagCount],MATCH(Passenger_PNR[[#This Row],[rowNumber]],ManifestGeneratorInput[RowNo.],0))),"Null~Value",INDEX(ManifestGeneratorInput[bagCount],MATCH(Passenger_PNR[[#This Row],[rowNumber]],ManifestGeneratorInput[RowNo.],0)))</f>
        <v>Null~Value</v>
      </c>
      <c r="AR11" s="2" t="str">
        <f>IF(ISBLANK(INDEX(ManifestGeneratorInput[combinedBagWeight(kg)],MATCH(Passenger_PNR[[#This Row],[rowNumber]],ManifestGeneratorInput[RowNo.],0))),"Null~Value",INDEX(ManifestGeneratorInput[combinedBagWeight(kg)],MATCH(Passenger_PNR[[#This Row],[rowNumber]],ManifestGeneratorInput[RowNo.],0)))</f>
        <v>Null~Value</v>
      </c>
      <c r="AS11" s="2" t="str">
        <f>IF(Passenger_PNR[[#This Row],[bagCount]]="Null~Value","",CONCATENATE(CHAR(10),"MEA+CT++",Passenger_PNR[[#This Row],[bagCount]],"'"))</f>
        <v/>
      </c>
      <c r="AT11" s="2" t="str">
        <f>IF(Passenger_PNR[[#This Row],[combinedBagWeight(kg)]]="Null~Value","",CONCATENATE(CHAR(10),"MEA+WT++",Home!$C$93,":",Passenger_PNR[[#This Row],[combinedBagWeight(kg)]],"'"))</f>
        <v/>
      </c>
      <c r="AU11" s="2" t="str">
        <f>IF(1=Passenger_PNR[[#This Row],[rowNumber]],Home!$C$122,"")</f>
        <v/>
      </c>
      <c r="AV11" s="2" t="str">
        <f ca="1">IF(MAX(Passenger_PNR[rowNumber])=Passenger_PNR[[#This Row],[rowNumber]],Home!$C$133,"")</f>
        <v xml:space="preserve">
CNT+42:10'
UNT+23+53371718146010'
UNZ+1+123456789'</v>
      </c>
      <c r="AW11" s="2" t="str">
        <f>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</f>
        <v>NAD+FL+++TOBIAS:DECKER'
ATT+2++M'
DTM+329:181203'
LOC+174+DEU'
NAT+2+DEU'
RFF+AVF:HUJD8S'
RFF+SEA:46E'
DOC+P+X6091008'
DTM+36:NULL~VALUE'
LOC+91+DEU'</v>
      </c>
      <c r="AX11" s="2" t="str">
        <f ca="1">CONCATENATE("NAD+ZZZ'",Passenger_PNR[[#This Row],[PNR Record Locator]],Passenger_PNR[[#This Row],[ABO Code]])</f>
        <v xml:space="preserve">NAD+ZZZ'
RFF+AVF:HUJD8S'RFF+ABO:A221E5'
</v>
      </c>
      <c r="AY11" s="2" t="str">
        <f>IF(Passenger_PNR[[#This Row],[rowNumber]]=1,CONCATENATE("UNB+UNOA:4+XYZ+CUSTOMS+130322:0335+0000001++API'
UNG+PAXLST+XYZ AIRLINES+CUSTOMS+130322:0335+1+UN+D:15B'
UNH+5755176+PAXLST:D:15B:UN:IATA'
BGM+266+CLOB'
RFF+TN:ABC1234:::2'
TDT+20+",Home!$C$16,"+++",Home!$C$66,"'","
LOC+125+",Home!$C$57,"'
",Home!$C$119,"
LOC+87+",Home!$C$59,"'
",Home!$C$121),"")</f>
        <v/>
      </c>
      <c r="AZ11" s="2" t="str">
        <f>IF(Passenger_PNR[[#This Row],[rowNumber]]=MAX(Passenger_PNR[rowNumber]),CONCATENATE("CNT+42:7’
UNT+31+5755176'
UNE+1+1'
UNZ+1+0000001’"),"")</f>
        <v>CNT+42:7’
UNT+31+5755176'
UNE+1+1'
UNZ+1+0000001’</v>
      </c>
      <c r="BA11" s="2" t="str">
        <f>IF(ISBLANK(INDEX(ManifestGeneratorInput[pnrRecordLocatorNumber],MATCH(Passenger_PNR[[#This Row],[rowNumber]],ManifestGeneratorInput[RowNo.],0))),"Null~Value",INDEX(ManifestGeneratorInput[pnrRecordLocatorNumber],MATCH(Passenger_PNR[[#This Row],[rowNumber]],ManifestGeneratorInput[RowNo.],0)))</f>
        <v>HUJD8S</v>
      </c>
      <c r="BB11" s="2">
        <f>LEN(Passenger_PNR[[#This Row],[Contents]])-LEN(SUBSTITUTE(Passenger_PNR[[#This Row],[Contents]],"'",""))</f>
        <v>10</v>
      </c>
      <c r="BC11" s="2">
        <f>SUMIFS(Passenger_PNR[segmentCount],Passenger_PNR[rowNumber],"&lt;="&amp;Passenger_PNR[[#This Row],[rowNumber]])</f>
        <v>107</v>
      </c>
      <c r="BD11" s="2">
        <f ca="1">MOD(Passenger_PNR[[#This Row],[sumtotal]],configSettings!$B$22)</f>
        <v>13</v>
      </c>
      <c r="BE11" s="2">
        <f ca="1">IF(OFFSET(Passenger_PNR[[#This Row],[Column5]],-1,0)&gt;Passenger_PNR[[#This Row],[Column5]],1,0)</f>
        <v>0</v>
      </c>
      <c r="BF11" s="2">
        <f ca="1">IF(Passenger_PNR[[#This Row],[rowNumber]]=MAX(Passenger_PNR[rowNumber]),1,IF(OFFSET(Passenger_PNR[[#This Row],[apisMessageGroup]],1,0)&gt;Passenger_PNR[[#This Row],[apisMessageGroup]],1,0))</f>
        <v>1</v>
      </c>
      <c r="BG11" s="2">
        <f ca="1">SUMIFS(Passenger_PNR[apisMessageHeader],Passenger_PNR[rowNumber],"&lt;="&amp;Passenger_PNR[[#This Row],[rowNumber]])</f>
        <v>3</v>
      </c>
      <c r="BH11" s="2">
        <f ca="1">COUNTIFS(Passenger_PNR[apisMessageGroup],"="&amp;Passenger_PNR[[#This Row],[apisMessageGroup]])</f>
        <v>2</v>
      </c>
      <c r="BI11" s="2" t="str">
        <f ca="1">CONCATENATE(Passenger_PNR[[#This Row],[newHeader2]],Passenger_PNR[[#This Row],[newContents]],Passenger_PNR[[#This Row],[newFooter2]])</f>
        <v>NAD+FL+++TOBIAS:DECKER'
ATT+2++M'
DTM+329:181203'
LOC+174+DEU'
NAT+2+DEU'
RFF+AVF:HUJD8S'
RFF+SEA:46E'
DOC+P+X6091008'
DTM+36:'
LOC+91+DEU'
CNT+42:10'
UNT+23+53371718146010'
UNZ+1+123456789'</v>
      </c>
      <c r="BJ11" s="2" t="str">
        <f>SUBSTITUTE(UPPER(CONCATENATE(Passenger_PNR[[#This Row],[NAD+]],Passenger_PNR[[#This Row],[ATT+2++]],Passenger_PNR[[#This Row],[DTM+329:]],Passenger_PNR[[#This Row],[bagCount2]],Passenger_PNR[[#This Row],[bagWeight]],Passenger_PNR[[#This Row],[LOC+178+]],Passenger_PNR[[#This Row],[LOC+179+]],Passenger_PNR[[#This Row],[LOC+174+]],Passenger_PNR[[#This Row],[NAT+2+]],Passenger_PNR[[#This Row],[PNR Record Locator]],Passenger_PNR[[#This Row],[RFF+SEA:]],Passenger_PNR[[#This Row],[DOC+]],Passenger_PNR[[#This Row],[DTM+36:]],Passenger_PNR[[#This Row],[LOC+91]],Passenger_PNR[[#This Row],[DOC+2]],Passenger_PNR[[#This Row],[DTM+36:2]],Passenger_PNR[[#This Row],[LOC+91.2]])),"NULL~VALUE","")</f>
        <v>NAD+FL+++TOBIAS:DECKER'
ATT+2++M'
DTM+329:181203'
LOC+174+DEU'
NAT+2+DEU'
RFF+AVF:HUJD8S'
RFF+SEA:46E'
DOC+P+X6091008'
DTM+36:'
LOC+91+DEU'</v>
      </c>
      <c r="BK11" s="2" t="str">
        <f ca="1">IF(Passenger_PNR[[#This Row],[apisMessageHeader]]=1,Home!$C$122,"")</f>
        <v/>
      </c>
      <c r="BL11" s="2" t="str">
        <f ca="1">IF(Passenger_PNR[[#This Row],[apisMessageFooter]]=1,Home!$C$133,"")</f>
        <v xml:space="preserve">
CNT+42:10'
UNT+23+53371718146010'
UNZ+1+123456789'</v>
      </c>
      <c r="BM11" s="2" t="str">
        <f ca="1">SUBSTITUTE(CONCATENATE(Passenger_PNR[[#This Row],[Attach Header]],Passenger_PNR[[#This Row],[Contents]],Passenger_PNR[[#This Row],[Attach Footer]]),"NULL~VALUE","")</f>
        <v>NAD+FL+++TOBIAS:DECKER'
ATT+2++M'
DTM+329:181203'
LOC+174+DEU'
NAT+2+DEU'
RFF+AVF:HUJD8S'
RFF+SEA:46E'
DOC+P+X6091008'
DTM+36:'
LOC+91+DEU'
CNT+42:10'
UNT+23+53371718146010'
UNZ+1+123456789'</v>
      </c>
      <c r="BN11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Single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NAD+FL+++TOBIAS:DECKER'
ATT+2++M'
DTM+329:181203'
LOC+174+DEU'
NAT+2+DEU'
RFF+AVF:HUJD8S'
RFF+SEA:46E'
DOC+P+X6091008'
DTM+36:'
LOC+91+DEU'
CNT+42:10'
UNT+23+53371718146010'
UNZ+1+123456789'</v>
      </c>
      <c r="BO11" s="2" t="str">
        <f ca="1">SUBSTITUTE(SUBSTITUTE(SUBSTITUTE(SUBSTITUTE(SUBSTITUTE(SUBSTITUTE(SUBSTITUTE(SUBSTITUTE(SUBSTITUTE(SUBSTITUTE(SUBSTITUTE(SUBSTITUTE(SUBSTITUTE(Passenger_PNR[[#This Row],[RawSingleApisCharRep1]],"æ","ae"),"Ġ","g"),"Č","c"),"ě","e"),"ň","n"),"š","s"),"ě","e"),"ň","n"),"ž","z"),"ř","r"),"č","c"),"ġ","g"),"ö","o")</f>
        <v>NAD+FL+++TOBIAS:DECKER'
ATT+2++M'
DTM+329:181203'
LOC+174+DEU'
NAT+2+DEU'
RFF+AVF:HUJD8S'
RFF+SEA:46E'
DOC+P+X6091008'
DTM+36:'
LOC+91+DEU'
CNT+42:10'
UNT+23+53371718146010'
UNZ+1+123456789'</v>
      </c>
      <c r="BP11" s="2" t="str">
        <f ca="1">SUBSTITUTE(SUBSTITUTE(SUBSTITUTE(SUBSTITUTE(SUBSTITUTE(SUBSTITUTE(Passenger_PNR[[#This Row],[APISmessageBeforeSub]],MID(Home!$C$135,1,1),MID(Home!$C$134,1,1)),MID(Home!$C$135,2,1),MID(Home!$C$134,2,1)),MID(Home!$C$135,3,1),MID(Home!$C$134,3,1)),MID(Home!$C$135,4,1),MID(Home!$C$134,4,1)),MID(Home!$C$135,5,1),MID(Home!$C$134,5,1)),MID(Home!$C$135,6,1),MID(Home!$C$134,6,1))</f>
        <v>NAD+FL+++TOBIAS:DECKER'
ATT+2++M'
DTM+329:181203'
LOC+174+DEU'
NAT+2+DEU'
RFF+AVF:HUJD8S'
RFF+SEA:46E'
DOC+P+X6091008'
DTM+36:'
LOC+91+DEU'
CNT+42:10'
UNT+23+53371718146010'
UNZ+1+123456789'</v>
      </c>
      <c r="BQ11" s="2" t="str">
        <f ca="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Passenger_PNR[[#This Row],[RawIndividualApis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NAD+FL+++TOBIAS:DECKER'
ATT+2++M'
DTM+329:181203'
LOC+174+DEU'
NAT+2+DEU'
RFF+AVF:HUJD8S'
RFF+SEA:46E'
DOC+P+X6091008'
DTM+36:'
LOC+91+DEU'
CNT+42:10'
UNT+23+53371718146010'
UNZ+1+123456789'</v>
      </c>
      <c r="BR11" s="2" t="str">
        <f ca="1">SUBSTITUTE(SUBSTITUTE(SUBSTITUTE(SUBSTITUTE(SUBSTITUTE(SUBSTITUTE(SUBSTITUTE(SUBSTITUTE(SUBSTITUTE(SUBSTITUTE(SUBSTITUTE(SUBSTITUTE(SUBSTITUTE(Passenger_PNR[[#This Row],[RawIndividualApisCharRep1]],"æ","ae"),"Ġ","g"),"Č","c"),"ě","e"),"ň","n"),"š","s"),"ě","e"),"ň","n"),"ž","z"),"ř","r"),"č","c"),"ġ","g"),"ö","o")</f>
        <v>NAD+FL+++TOBIAS:DECKER'
ATT+2++M'
DTM+329:181203'
LOC+174+DEU'
NAT+2+DEU'
RFF+AVF:HUJD8S'
RFF+SEA:46E'
DOC+P+X6091008'
DTM+36:'
LOC+91+DEU'
CNT+42:10'
UNT+23+53371718146010'
UNZ+1+123456789'</v>
      </c>
      <c r="DO11"/>
      <c r="FI11"/>
    </row>
  </sheetData>
  <pageMargins left="0.7" right="0.7" top="0.75" bottom="0.75" header="0.3" footer="0.3"/>
  <pageSetup orientation="portrait" r:id="rId1"/>
  <cellWatches>
    <cellWatch r="A2"/>
  </cellWatch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111111">
    <tabColor theme="0" tint="-0.499984740745262"/>
  </sheetPr>
  <dimension ref="A1:B8108"/>
  <sheetViews>
    <sheetView topLeftCell="A7878" workbookViewId="0"/>
  </sheetViews>
  <sheetFormatPr defaultColWidth="11.44140625" defaultRowHeight="14.4" x14ac:dyDescent="0.3"/>
  <sheetData>
    <row r="1" spans="1:2" x14ac:dyDescent="0.3">
      <c r="A1" t="s">
        <v>73</v>
      </c>
      <c r="B1" t="s">
        <v>0</v>
      </c>
    </row>
    <row r="2" spans="1:2" x14ac:dyDescent="0.3">
      <c r="A2" t="s">
        <v>284</v>
      </c>
      <c r="B2" t="s">
        <v>285</v>
      </c>
    </row>
    <row r="3" spans="1:2" x14ac:dyDescent="0.3">
      <c r="A3" t="s">
        <v>286</v>
      </c>
      <c r="B3" t="s">
        <v>285</v>
      </c>
    </row>
    <row r="4" spans="1:2" x14ac:dyDescent="0.3">
      <c r="A4" t="s">
        <v>287</v>
      </c>
      <c r="B4" t="s">
        <v>285</v>
      </c>
    </row>
    <row r="5" spans="1:2" x14ac:dyDescent="0.3">
      <c r="A5" t="s">
        <v>288</v>
      </c>
      <c r="B5" t="s">
        <v>285</v>
      </c>
    </row>
    <row r="6" spans="1:2" x14ac:dyDescent="0.3">
      <c r="A6" t="s">
        <v>289</v>
      </c>
      <c r="B6" t="s">
        <v>285</v>
      </c>
    </row>
    <row r="7" spans="1:2" x14ac:dyDescent="0.3">
      <c r="A7" t="s">
        <v>290</v>
      </c>
      <c r="B7" t="s">
        <v>285</v>
      </c>
    </row>
    <row r="8" spans="1:2" x14ac:dyDescent="0.3">
      <c r="A8" t="s">
        <v>291</v>
      </c>
      <c r="B8" t="s">
        <v>292</v>
      </c>
    </row>
    <row r="9" spans="1:2" x14ac:dyDescent="0.3">
      <c r="A9" t="s">
        <v>293</v>
      </c>
      <c r="B9" t="s">
        <v>292</v>
      </c>
    </row>
    <row r="10" spans="1:2" x14ac:dyDescent="0.3">
      <c r="A10" t="s">
        <v>294</v>
      </c>
      <c r="B10" t="s">
        <v>292</v>
      </c>
    </row>
    <row r="11" spans="1:2" x14ac:dyDescent="0.3">
      <c r="A11" t="s">
        <v>131</v>
      </c>
      <c r="B11" t="s">
        <v>292</v>
      </c>
    </row>
    <row r="12" spans="1:2" x14ac:dyDescent="0.3">
      <c r="A12" t="s">
        <v>295</v>
      </c>
      <c r="B12" t="s">
        <v>252</v>
      </c>
    </row>
    <row r="13" spans="1:2" x14ac:dyDescent="0.3">
      <c r="A13" t="s">
        <v>296</v>
      </c>
      <c r="B13" t="s">
        <v>252</v>
      </c>
    </row>
    <row r="14" spans="1:2" x14ac:dyDescent="0.3">
      <c r="A14" t="s">
        <v>297</v>
      </c>
      <c r="B14" t="s">
        <v>252</v>
      </c>
    </row>
    <row r="15" spans="1:2" x14ac:dyDescent="0.3">
      <c r="A15" t="s">
        <v>298</v>
      </c>
      <c r="B15" t="s">
        <v>252</v>
      </c>
    </row>
    <row r="16" spans="1:2" x14ac:dyDescent="0.3">
      <c r="A16" t="s">
        <v>299</v>
      </c>
      <c r="B16" t="s">
        <v>252</v>
      </c>
    </row>
    <row r="17" spans="1:2" x14ac:dyDescent="0.3">
      <c r="A17" t="s">
        <v>150</v>
      </c>
      <c r="B17" t="s">
        <v>252</v>
      </c>
    </row>
    <row r="18" spans="1:2" x14ac:dyDescent="0.3">
      <c r="A18" t="s">
        <v>300</v>
      </c>
      <c r="B18" t="s">
        <v>252</v>
      </c>
    </row>
    <row r="19" spans="1:2" x14ac:dyDescent="0.3">
      <c r="A19" t="s">
        <v>301</v>
      </c>
      <c r="B19" t="s">
        <v>252</v>
      </c>
    </row>
    <row r="20" spans="1:2" x14ac:dyDescent="0.3">
      <c r="A20" t="s">
        <v>302</v>
      </c>
      <c r="B20" t="s">
        <v>252</v>
      </c>
    </row>
    <row r="21" spans="1:2" x14ac:dyDescent="0.3">
      <c r="A21" t="s">
        <v>303</v>
      </c>
      <c r="B21" t="s">
        <v>252</v>
      </c>
    </row>
    <row r="22" spans="1:2" x14ac:dyDescent="0.3">
      <c r="A22" t="s">
        <v>304</v>
      </c>
      <c r="B22" t="s">
        <v>172</v>
      </c>
    </row>
    <row r="23" spans="1:2" x14ac:dyDescent="0.3">
      <c r="A23" t="s">
        <v>305</v>
      </c>
      <c r="B23" t="s">
        <v>172</v>
      </c>
    </row>
    <row r="24" spans="1:2" x14ac:dyDescent="0.3">
      <c r="A24" t="s">
        <v>306</v>
      </c>
      <c r="B24" t="s">
        <v>172</v>
      </c>
    </row>
    <row r="25" spans="1:2" x14ac:dyDescent="0.3">
      <c r="A25" t="s">
        <v>307</v>
      </c>
      <c r="B25" t="s">
        <v>172</v>
      </c>
    </row>
    <row r="26" spans="1:2" x14ac:dyDescent="0.3">
      <c r="A26" t="s">
        <v>308</v>
      </c>
      <c r="B26" t="s">
        <v>172</v>
      </c>
    </row>
    <row r="27" spans="1:2" x14ac:dyDescent="0.3">
      <c r="A27" t="s">
        <v>309</v>
      </c>
      <c r="B27" t="s">
        <v>172</v>
      </c>
    </row>
    <row r="28" spans="1:2" x14ac:dyDescent="0.3">
      <c r="A28" t="s">
        <v>310</v>
      </c>
      <c r="B28" t="s">
        <v>172</v>
      </c>
    </row>
    <row r="29" spans="1:2" x14ac:dyDescent="0.3">
      <c r="A29" t="s">
        <v>311</v>
      </c>
      <c r="B29" t="s">
        <v>172</v>
      </c>
    </row>
    <row r="30" spans="1:2" x14ac:dyDescent="0.3">
      <c r="A30" t="s">
        <v>312</v>
      </c>
      <c r="B30" t="s">
        <v>172</v>
      </c>
    </row>
    <row r="31" spans="1:2" x14ac:dyDescent="0.3">
      <c r="A31" t="s">
        <v>313</v>
      </c>
      <c r="B31" t="s">
        <v>172</v>
      </c>
    </row>
    <row r="32" spans="1:2" x14ac:dyDescent="0.3">
      <c r="A32" t="s">
        <v>314</v>
      </c>
      <c r="B32" t="s">
        <v>172</v>
      </c>
    </row>
    <row r="33" spans="1:2" x14ac:dyDescent="0.3">
      <c r="A33" t="s">
        <v>315</v>
      </c>
      <c r="B33" t="s">
        <v>172</v>
      </c>
    </row>
    <row r="34" spans="1:2" x14ac:dyDescent="0.3">
      <c r="A34" t="s">
        <v>316</v>
      </c>
      <c r="B34" t="s">
        <v>172</v>
      </c>
    </row>
    <row r="35" spans="1:2" x14ac:dyDescent="0.3">
      <c r="A35" t="s">
        <v>317</v>
      </c>
      <c r="B35" t="s">
        <v>172</v>
      </c>
    </row>
    <row r="36" spans="1:2" x14ac:dyDescent="0.3">
      <c r="A36" t="s">
        <v>318</v>
      </c>
      <c r="B36" t="s">
        <v>172</v>
      </c>
    </row>
    <row r="37" spans="1:2" x14ac:dyDescent="0.3">
      <c r="A37" t="s">
        <v>319</v>
      </c>
      <c r="B37" t="s">
        <v>172</v>
      </c>
    </row>
    <row r="38" spans="1:2" x14ac:dyDescent="0.3">
      <c r="A38" t="s">
        <v>320</v>
      </c>
      <c r="B38" t="s">
        <v>172</v>
      </c>
    </row>
    <row r="39" spans="1:2" x14ac:dyDescent="0.3">
      <c r="A39" t="s">
        <v>321</v>
      </c>
      <c r="B39" t="s">
        <v>172</v>
      </c>
    </row>
    <row r="40" spans="1:2" x14ac:dyDescent="0.3">
      <c r="A40" t="s">
        <v>322</v>
      </c>
      <c r="B40" t="s">
        <v>172</v>
      </c>
    </row>
    <row r="41" spans="1:2" x14ac:dyDescent="0.3">
      <c r="A41" t="s">
        <v>323</v>
      </c>
      <c r="B41" t="s">
        <v>172</v>
      </c>
    </row>
    <row r="42" spans="1:2" x14ac:dyDescent="0.3">
      <c r="A42" t="s">
        <v>324</v>
      </c>
      <c r="B42" t="s">
        <v>172</v>
      </c>
    </row>
    <row r="43" spans="1:2" x14ac:dyDescent="0.3">
      <c r="A43" t="s">
        <v>325</v>
      </c>
      <c r="B43" t="s">
        <v>172</v>
      </c>
    </row>
    <row r="44" spans="1:2" x14ac:dyDescent="0.3">
      <c r="A44" t="s">
        <v>326</v>
      </c>
      <c r="B44" t="s">
        <v>172</v>
      </c>
    </row>
    <row r="45" spans="1:2" x14ac:dyDescent="0.3">
      <c r="A45" t="s">
        <v>327</v>
      </c>
      <c r="B45" t="s">
        <v>172</v>
      </c>
    </row>
    <row r="46" spans="1:2" x14ac:dyDescent="0.3">
      <c r="A46" t="s">
        <v>328</v>
      </c>
      <c r="B46" t="s">
        <v>172</v>
      </c>
    </row>
    <row r="47" spans="1:2" x14ac:dyDescent="0.3">
      <c r="A47" t="s">
        <v>329</v>
      </c>
      <c r="B47" t="s">
        <v>172</v>
      </c>
    </row>
    <row r="48" spans="1:2" x14ac:dyDescent="0.3">
      <c r="A48" t="s">
        <v>330</v>
      </c>
      <c r="B48" t="s">
        <v>172</v>
      </c>
    </row>
    <row r="49" spans="1:2" x14ac:dyDescent="0.3">
      <c r="A49" t="s">
        <v>331</v>
      </c>
      <c r="B49" t="s">
        <v>172</v>
      </c>
    </row>
    <row r="50" spans="1:2" x14ac:dyDescent="0.3">
      <c r="A50" t="s">
        <v>332</v>
      </c>
      <c r="B50" t="s">
        <v>172</v>
      </c>
    </row>
    <row r="51" spans="1:2" x14ac:dyDescent="0.3">
      <c r="A51" t="s">
        <v>333</v>
      </c>
      <c r="B51" t="s">
        <v>172</v>
      </c>
    </row>
    <row r="52" spans="1:2" x14ac:dyDescent="0.3">
      <c r="A52" t="s">
        <v>334</v>
      </c>
      <c r="B52" t="s">
        <v>172</v>
      </c>
    </row>
    <row r="53" spans="1:2" x14ac:dyDescent="0.3">
      <c r="A53" t="s">
        <v>335</v>
      </c>
      <c r="B53" t="s">
        <v>172</v>
      </c>
    </row>
    <row r="54" spans="1:2" x14ac:dyDescent="0.3">
      <c r="A54" t="s">
        <v>336</v>
      </c>
      <c r="B54" t="s">
        <v>172</v>
      </c>
    </row>
    <row r="55" spans="1:2" x14ac:dyDescent="0.3">
      <c r="A55" t="s">
        <v>337</v>
      </c>
      <c r="B55" t="s">
        <v>172</v>
      </c>
    </row>
    <row r="56" spans="1:2" x14ac:dyDescent="0.3">
      <c r="A56" t="s">
        <v>338</v>
      </c>
      <c r="B56" t="s">
        <v>172</v>
      </c>
    </row>
    <row r="57" spans="1:2" x14ac:dyDescent="0.3">
      <c r="A57" t="s">
        <v>339</v>
      </c>
      <c r="B57" t="s">
        <v>172</v>
      </c>
    </row>
    <row r="58" spans="1:2" x14ac:dyDescent="0.3">
      <c r="B58" t="s">
        <v>172</v>
      </c>
    </row>
    <row r="59" spans="1:2" x14ac:dyDescent="0.3">
      <c r="A59" t="s">
        <v>340</v>
      </c>
      <c r="B59" t="s">
        <v>172</v>
      </c>
    </row>
    <row r="60" spans="1:2" x14ac:dyDescent="0.3">
      <c r="A60" t="s">
        <v>341</v>
      </c>
      <c r="B60" t="s">
        <v>172</v>
      </c>
    </row>
    <row r="61" spans="1:2" x14ac:dyDescent="0.3">
      <c r="A61" t="s">
        <v>342</v>
      </c>
      <c r="B61" t="s">
        <v>172</v>
      </c>
    </row>
    <row r="62" spans="1:2" x14ac:dyDescent="0.3">
      <c r="A62" t="s">
        <v>343</v>
      </c>
      <c r="B62" t="s">
        <v>172</v>
      </c>
    </row>
    <row r="63" spans="1:2" x14ac:dyDescent="0.3">
      <c r="A63" t="s">
        <v>344</v>
      </c>
      <c r="B63" t="s">
        <v>172</v>
      </c>
    </row>
    <row r="64" spans="1:2" x14ac:dyDescent="0.3">
      <c r="A64" t="s">
        <v>345</v>
      </c>
      <c r="B64" t="s">
        <v>172</v>
      </c>
    </row>
    <row r="65" spans="1:2" x14ac:dyDescent="0.3">
      <c r="A65" t="s">
        <v>346</v>
      </c>
      <c r="B65" t="s">
        <v>172</v>
      </c>
    </row>
    <row r="66" spans="1:2" x14ac:dyDescent="0.3">
      <c r="A66" t="s">
        <v>347</v>
      </c>
      <c r="B66" t="s">
        <v>172</v>
      </c>
    </row>
    <row r="67" spans="1:2" x14ac:dyDescent="0.3">
      <c r="A67" t="s">
        <v>348</v>
      </c>
      <c r="B67" t="s">
        <v>172</v>
      </c>
    </row>
    <row r="68" spans="1:2" x14ac:dyDescent="0.3">
      <c r="A68" t="s">
        <v>349</v>
      </c>
      <c r="B68" t="s">
        <v>172</v>
      </c>
    </row>
    <row r="69" spans="1:2" x14ac:dyDescent="0.3">
      <c r="A69" t="s">
        <v>350</v>
      </c>
      <c r="B69" t="s">
        <v>172</v>
      </c>
    </row>
    <row r="70" spans="1:2" x14ac:dyDescent="0.3">
      <c r="A70" t="s">
        <v>351</v>
      </c>
      <c r="B70" t="s">
        <v>172</v>
      </c>
    </row>
    <row r="71" spans="1:2" x14ac:dyDescent="0.3">
      <c r="A71" t="s">
        <v>352</v>
      </c>
      <c r="B71" t="s">
        <v>172</v>
      </c>
    </row>
    <row r="72" spans="1:2" x14ac:dyDescent="0.3">
      <c r="A72" t="s">
        <v>353</v>
      </c>
      <c r="B72" t="s">
        <v>172</v>
      </c>
    </row>
    <row r="73" spans="1:2" x14ac:dyDescent="0.3">
      <c r="A73" t="s">
        <v>354</v>
      </c>
      <c r="B73" t="s">
        <v>172</v>
      </c>
    </row>
    <row r="74" spans="1:2" x14ac:dyDescent="0.3">
      <c r="A74" t="s">
        <v>355</v>
      </c>
      <c r="B74" t="s">
        <v>172</v>
      </c>
    </row>
    <row r="75" spans="1:2" x14ac:dyDescent="0.3">
      <c r="A75" t="s">
        <v>356</v>
      </c>
      <c r="B75" t="s">
        <v>172</v>
      </c>
    </row>
    <row r="76" spans="1:2" x14ac:dyDescent="0.3">
      <c r="A76" t="s">
        <v>357</v>
      </c>
      <c r="B76" t="s">
        <v>172</v>
      </c>
    </row>
    <row r="77" spans="1:2" x14ac:dyDescent="0.3">
      <c r="A77" t="s">
        <v>358</v>
      </c>
      <c r="B77" t="s">
        <v>172</v>
      </c>
    </row>
    <row r="78" spans="1:2" x14ac:dyDescent="0.3">
      <c r="A78" t="s">
        <v>359</v>
      </c>
      <c r="B78" t="s">
        <v>172</v>
      </c>
    </row>
    <row r="79" spans="1:2" x14ac:dyDescent="0.3">
      <c r="A79" t="s">
        <v>360</v>
      </c>
      <c r="B79" t="s">
        <v>172</v>
      </c>
    </row>
    <row r="80" spans="1:2" x14ac:dyDescent="0.3">
      <c r="A80" t="s">
        <v>361</v>
      </c>
      <c r="B80" t="s">
        <v>172</v>
      </c>
    </row>
    <row r="81" spans="1:2" x14ac:dyDescent="0.3">
      <c r="A81" t="s">
        <v>362</v>
      </c>
      <c r="B81" t="s">
        <v>172</v>
      </c>
    </row>
    <row r="82" spans="1:2" x14ac:dyDescent="0.3">
      <c r="A82" t="s">
        <v>363</v>
      </c>
      <c r="B82" t="s">
        <v>172</v>
      </c>
    </row>
    <row r="83" spans="1:2" x14ac:dyDescent="0.3">
      <c r="A83" t="s">
        <v>364</v>
      </c>
      <c r="B83" t="s">
        <v>172</v>
      </c>
    </row>
    <row r="84" spans="1:2" x14ac:dyDescent="0.3">
      <c r="A84" t="s">
        <v>365</v>
      </c>
      <c r="B84" t="s">
        <v>172</v>
      </c>
    </row>
    <row r="85" spans="1:2" x14ac:dyDescent="0.3">
      <c r="A85" t="s">
        <v>366</v>
      </c>
      <c r="B85" t="s">
        <v>172</v>
      </c>
    </row>
    <row r="86" spans="1:2" x14ac:dyDescent="0.3">
      <c r="A86" t="s">
        <v>367</v>
      </c>
      <c r="B86" t="s">
        <v>172</v>
      </c>
    </row>
    <row r="87" spans="1:2" x14ac:dyDescent="0.3">
      <c r="A87" t="s">
        <v>368</v>
      </c>
      <c r="B87" t="s">
        <v>172</v>
      </c>
    </row>
    <row r="88" spans="1:2" x14ac:dyDescent="0.3">
      <c r="A88" t="s">
        <v>369</v>
      </c>
      <c r="B88" t="s">
        <v>172</v>
      </c>
    </row>
    <row r="89" spans="1:2" x14ac:dyDescent="0.3">
      <c r="A89" t="s">
        <v>370</v>
      </c>
      <c r="B89" t="s">
        <v>172</v>
      </c>
    </row>
    <row r="90" spans="1:2" x14ac:dyDescent="0.3">
      <c r="A90" t="s">
        <v>371</v>
      </c>
      <c r="B90" t="s">
        <v>172</v>
      </c>
    </row>
    <row r="91" spans="1:2" x14ac:dyDescent="0.3">
      <c r="A91" t="s">
        <v>372</v>
      </c>
      <c r="B91" t="s">
        <v>172</v>
      </c>
    </row>
    <row r="92" spans="1:2" x14ac:dyDescent="0.3">
      <c r="A92" t="s">
        <v>373</v>
      </c>
      <c r="B92" t="s">
        <v>172</v>
      </c>
    </row>
    <row r="93" spans="1:2" x14ac:dyDescent="0.3">
      <c r="A93" t="s">
        <v>374</v>
      </c>
      <c r="B93" t="s">
        <v>172</v>
      </c>
    </row>
    <row r="94" spans="1:2" x14ac:dyDescent="0.3">
      <c r="A94" t="s">
        <v>375</v>
      </c>
      <c r="B94" t="s">
        <v>172</v>
      </c>
    </row>
    <row r="95" spans="1:2" x14ac:dyDescent="0.3">
      <c r="A95" t="s">
        <v>376</v>
      </c>
      <c r="B95" t="s">
        <v>172</v>
      </c>
    </row>
    <row r="96" spans="1:2" x14ac:dyDescent="0.3">
      <c r="A96" t="s">
        <v>377</v>
      </c>
      <c r="B96" t="s">
        <v>172</v>
      </c>
    </row>
    <row r="97" spans="1:2" x14ac:dyDescent="0.3">
      <c r="A97" t="s">
        <v>378</v>
      </c>
      <c r="B97" t="s">
        <v>172</v>
      </c>
    </row>
    <row r="98" spans="1:2" x14ac:dyDescent="0.3">
      <c r="A98" t="s">
        <v>379</v>
      </c>
      <c r="B98" t="s">
        <v>172</v>
      </c>
    </row>
    <row r="99" spans="1:2" x14ac:dyDescent="0.3">
      <c r="A99" t="s">
        <v>380</v>
      </c>
      <c r="B99" t="s">
        <v>172</v>
      </c>
    </row>
    <row r="100" spans="1:2" x14ac:dyDescent="0.3">
      <c r="A100" t="s">
        <v>381</v>
      </c>
      <c r="B100" t="s">
        <v>172</v>
      </c>
    </row>
    <row r="101" spans="1:2" x14ac:dyDescent="0.3">
      <c r="A101" t="s">
        <v>382</v>
      </c>
      <c r="B101" t="s">
        <v>172</v>
      </c>
    </row>
    <row r="102" spans="1:2" x14ac:dyDescent="0.3">
      <c r="A102" t="s">
        <v>383</v>
      </c>
      <c r="B102" t="s">
        <v>172</v>
      </c>
    </row>
    <row r="103" spans="1:2" x14ac:dyDescent="0.3">
      <c r="A103" t="s">
        <v>384</v>
      </c>
      <c r="B103" t="s">
        <v>172</v>
      </c>
    </row>
    <row r="104" spans="1:2" x14ac:dyDescent="0.3">
      <c r="A104" t="s">
        <v>385</v>
      </c>
      <c r="B104" t="s">
        <v>172</v>
      </c>
    </row>
    <row r="105" spans="1:2" x14ac:dyDescent="0.3">
      <c r="B105" t="s">
        <v>172</v>
      </c>
    </row>
    <row r="106" spans="1:2" x14ac:dyDescent="0.3">
      <c r="A106" t="s">
        <v>386</v>
      </c>
      <c r="B106" t="s">
        <v>172</v>
      </c>
    </row>
    <row r="107" spans="1:2" x14ac:dyDescent="0.3">
      <c r="A107" t="s">
        <v>387</v>
      </c>
      <c r="B107" t="s">
        <v>172</v>
      </c>
    </row>
    <row r="108" spans="1:2" x14ac:dyDescent="0.3">
      <c r="A108" t="s">
        <v>388</v>
      </c>
      <c r="B108" t="s">
        <v>172</v>
      </c>
    </row>
    <row r="109" spans="1:2" x14ac:dyDescent="0.3">
      <c r="A109" t="s">
        <v>389</v>
      </c>
      <c r="B109" t="s">
        <v>172</v>
      </c>
    </row>
    <row r="110" spans="1:2" x14ac:dyDescent="0.3">
      <c r="A110" t="s">
        <v>390</v>
      </c>
      <c r="B110" t="s">
        <v>172</v>
      </c>
    </row>
    <row r="111" spans="1:2" x14ac:dyDescent="0.3">
      <c r="A111" t="s">
        <v>391</v>
      </c>
      <c r="B111" t="s">
        <v>172</v>
      </c>
    </row>
    <row r="112" spans="1:2" x14ac:dyDescent="0.3">
      <c r="A112" t="s">
        <v>392</v>
      </c>
      <c r="B112" t="s">
        <v>172</v>
      </c>
    </row>
    <row r="113" spans="1:2" x14ac:dyDescent="0.3">
      <c r="A113" t="s">
        <v>393</v>
      </c>
      <c r="B113" t="s">
        <v>172</v>
      </c>
    </row>
    <row r="114" spans="1:2" x14ac:dyDescent="0.3">
      <c r="A114" t="s">
        <v>394</v>
      </c>
      <c r="B114" t="s">
        <v>172</v>
      </c>
    </row>
    <row r="115" spans="1:2" x14ac:dyDescent="0.3">
      <c r="A115" t="s">
        <v>395</v>
      </c>
      <c r="B115" t="s">
        <v>172</v>
      </c>
    </row>
    <row r="116" spans="1:2" x14ac:dyDescent="0.3">
      <c r="A116" t="s">
        <v>396</v>
      </c>
      <c r="B116" t="s">
        <v>172</v>
      </c>
    </row>
    <row r="117" spans="1:2" x14ac:dyDescent="0.3">
      <c r="A117" t="s">
        <v>397</v>
      </c>
      <c r="B117" t="s">
        <v>172</v>
      </c>
    </row>
    <row r="118" spans="1:2" x14ac:dyDescent="0.3">
      <c r="A118" t="s">
        <v>398</v>
      </c>
      <c r="B118" t="s">
        <v>172</v>
      </c>
    </row>
    <row r="119" spans="1:2" x14ac:dyDescent="0.3">
      <c r="A119" t="s">
        <v>399</v>
      </c>
      <c r="B119" t="s">
        <v>172</v>
      </c>
    </row>
    <row r="120" spans="1:2" x14ac:dyDescent="0.3">
      <c r="A120" t="s">
        <v>400</v>
      </c>
      <c r="B120" t="s">
        <v>172</v>
      </c>
    </row>
    <row r="121" spans="1:2" x14ac:dyDescent="0.3">
      <c r="A121" t="s">
        <v>401</v>
      </c>
      <c r="B121" t="s">
        <v>172</v>
      </c>
    </row>
    <row r="122" spans="1:2" x14ac:dyDescent="0.3">
      <c r="A122" t="s">
        <v>402</v>
      </c>
      <c r="B122" t="s">
        <v>172</v>
      </c>
    </row>
    <row r="123" spans="1:2" x14ac:dyDescent="0.3">
      <c r="A123" t="s">
        <v>403</v>
      </c>
      <c r="B123" t="s">
        <v>172</v>
      </c>
    </row>
    <row r="124" spans="1:2" x14ac:dyDescent="0.3">
      <c r="A124" t="s">
        <v>404</v>
      </c>
      <c r="B124" t="s">
        <v>172</v>
      </c>
    </row>
    <row r="125" spans="1:2" x14ac:dyDescent="0.3">
      <c r="A125" t="s">
        <v>405</v>
      </c>
      <c r="B125" t="s">
        <v>172</v>
      </c>
    </row>
    <row r="126" spans="1:2" x14ac:dyDescent="0.3">
      <c r="A126" t="s">
        <v>406</v>
      </c>
      <c r="B126" t="s">
        <v>172</v>
      </c>
    </row>
    <row r="127" spans="1:2" x14ac:dyDescent="0.3">
      <c r="A127" t="s">
        <v>407</v>
      </c>
      <c r="B127" t="s">
        <v>172</v>
      </c>
    </row>
    <row r="128" spans="1:2" x14ac:dyDescent="0.3">
      <c r="A128" t="s">
        <v>408</v>
      </c>
      <c r="B128" t="s">
        <v>172</v>
      </c>
    </row>
    <row r="129" spans="1:2" x14ac:dyDescent="0.3">
      <c r="A129" t="s">
        <v>409</v>
      </c>
      <c r="B129" t="s">
        <v>172</v>
      </c>
    </row>
    <row r="130" spans="1:2" x14ac:dyDescent="0.3">
      <c r="A130" t="s">
        <v>410</v>
      </c>
      <c r="B130" t="s">
        <v>172</v>
      </c>
    </row>
    <row r="131" spans="1:2" x14ac:dyDescent="0.3">
      <c r="A131" t="s">
        <v>411</v>
      </c>
      <c r="B131" t="s">
        <v>172</v>
      </c>
    </row>
    <row r="132" spans="1:2" x14ac:dyDescent="0.3">
      <c r="A132" t="s">
        <v>412</v>
      </c>
      <c r="B132" t="s">
        <v>172</v>
      </c>
    </row>
    <row r="133" spans="1:2" x14ac:dyDescent="0.3">
      <c r="A133" t="s">
        <v>413</v>
      </c>
      <c r="B133" t="s">
        <v>172</v>
      </c>
    </row>
    <row r="134" spans="1:2" x14ac:dyDescent="0.3">
      <c r="A134" t="s">
        <v>414</v>
      </c>
      <c r="B134" t="s">
        <v>172</v>
      </c>
    </row>
    <row r="135" spans="1:2" x14ac:dyDescent="0.3">
      <c r="A135" t="s">
        <v>415</v>
      </c>
      <c r="B135" t="s">
        <v>172</v>
      </c>
    </row>
    <row r="136" spans="1:2" x14ac:dyDescent="0.3">
      <c r="A136" t="s">
        <v>416</v>
      </c>
      <c r="B136" t="s">
        <v>172</v>
      </c>
    </row>
    <row r="137" spans="1:2" x14ac:dyDescent="0.3">
      <c r="A137" t="s">
        <v>417</v>
      </c>
      <c r="B137" t="s">
        <v>172</v>
      </c>
    </row>
    <row r="138" spans="1:2" x14ac:dyDescent="0.3">
      <c r="A138" t="s">
        <v>418</v>
      </c>
      <c r="B138" t="s">
        <v>172</v>
      </c>
    </row>
    <row r="139" spans="1:2" x14ac:dyDescent="0.3">
      <c r="A139" t="s">
        <v>419</v>
      </c>
      <c r="B139" t="s">
        <v>172</v>
      </c>
    </row>
    <row r="140" spans="1:2" x14ac:dyDescent="0.3">
      <c r="A140" t="s">
        <v>420</v>
      </c>
      <c r="B140" t="s">
        <v>172</v>
      </c>
    </row>
    <row r="141" spans="1:2" x14ac:dyDescent="0.3">
      <c r="A141" t="s">
        <v>421</v>
      </c>
      <c r="B141" t="s">
        <v>172</v>
      </c>
    </row>
    <row r="142" spans="1:2" x14ac:dyDescent="0.3">
      <c r="A142" t="s">
        <v>422</v>
      </c>
      <c r="B142" t="s">
        <v>172</v>
      </c>
    </row>
    <row r="143" spans="1:2" x14ac:dyDescent="0.3">
      <c r="A143" t="s">
        <v>423</v>
      </c>
      <c r="B143" t="s">
        <v>172</v>
      </c>
    </row>
    <row r="144" spans="1:2" x14ac:dyDescent="0.3">
      <c r="A144" t="s">
        <v>210</v>
      </c>
      <c r="B144" t="s">
        <v>172</v>
      </c>
    </row>
    <row r="145" spans="1:2" x14ac:dyDescent="0.3">
      <c r="A145" t="s">
        <v>424</v>
      </c>
      <c r="B145" t="s">
        <v>172</v>
      </c>
    </row>
    <row r="146" spans="1:2" x14ac:dyDescent="0.3">
      <c r="A146" t="s">
        <v>140</v>
      </c>
      <c r="B146" t="s">
        <v>172</v>
      </c>
    </row>
    <row r="147" spans="1:2" x14ac:dyDescent="0.3">
      <c r="A147" t="s">
        <v>425</v>
      </c>
      <c r="B147" t="s">
        <v>172</v>
      </c>
    </row>
    <row r="148" spans="1:2" x14ac:dyDescent="0.3">
      <c r="A148" t="s">
        <v>426</v>
      </c>
      <c r="B148" t="s">
        <v>172</v>
      </c>
    </row>
    <row r="149" spans="1:2" x14ac:dyDescent="0.3">
      <c r="A149" t="s">
        <v>427</v>
      </c>
      <c r="B149" t="s">
        <v>172</v>
      </c>
    </row>
    <row r="150" spans="1:2" x14ac:dyDescent="0.3">
      <c r="A150" t="s">
        <v>428</v>
      </c>
      <c r="B150" t="s">
        <v>172</v>
      </c>
    </row>
    <row r="151" spans="1:2" x14ac:dyDescent="0.3">
      <c r="A151" t="s">
        <v>429</v>
      </c>
      <c r="B151" t="s">
        <v>172</v>
      </c>
    </row>
    <row r="152" spans="1:2" x14ac:dyDescent="0.3">
      <c r="A152" t="s">
        <v>430</v>
      </c>
      <c r="B152" t="s">
        <v>172</v>
      </c>
    </row>
    <row r="153" spans="1:2" x14ac:dyDescent="0.3">
      <c r="A153" t="s">
        <v>431</v>
      </c>
      <c r="B153" t="s">
        <v>172</v>
      </c>
    </row>
    <row r="154" spans="1:2" x14ac:dyDescent="0.3">
      <c r="A154" t="s">
        <v>432</v>
      </c>
      <c r="B154" t="s">
        <v>172</v>
      </c>
    </row>
    <row r="155" spans="1:2" x14ac:dyDescent="0.3">
      <c r="A155" t="s">
        <v>433</v>
      </c>
      <c r="B155" t="s">
        <v>172</v>
      </c>
    </row>
    <row r="156" spans="1:2" x14ac:dyDescent="0.3">
      <c r="A156" t="s">
        <v>434</v>
      </c>
      <c r="B156" t="s">
        <v>172</v>
      </c>
    </row>
    <row r="157" spans="1:2" x14ac:dyDescent="0.3">
      <c r="A157" t="s">
        <v>435</v>
      </c>
      <c r="B157" t="s">
        <v>172</v>
      </c>
    </row>
    <row r="158" spans="1:2" x14ac:dyDescent="0.3">
      <c r="A158" t="s">
        <v>436</v>
      </c>
      <c r="B158" t="s">
        <v>172</v>
      </c>
    </row>
    <row r="159" spans="1:2" x14ac:dyDescent="0.3">
      <c r="A159" t="s">
        <v>437</v>
      </c>
      <c r="B159" t="s">
        <v>172</v>
      </c>
    </row>
    <row r="160" spans="1:2" x14ac:dyDescent="0.3">
      <c r="A160" t="s">
        <v>438</v>
      </c>
      <c r="B160" t="s">
        <v>172</v>
      </c>
    </row>
    <row r="161" spans="1:2" x14ac:dyDescent="0.3">
      <c r="A161" t="s">
        <v>439</v>
      </c>
      <c r="B161" t="s">
        <v>172</v>
      </c>
    </row>
    <row r="162" spans="1:2" x14ac:dyDescent="0.3">
      <c r="A162" t="s">
        <v>440</v>
      </c>
      <c r="B162" t="s">
        <v>172</v>
      </c>
    </row>
    <row r="163" spans="1:2" x14ac:dyDescent="0.3">
      <c r="A163" t="s">
        <v>441</v>
      </c>
      <c r="B163" t="s">
        <v>172</v>
      </c>
    </row>
    <row r="164" spans="1:2" x14ac:dyDescent="0.3">
      <c r="A164" t="s">
        <v>442</v>
      </c>
      <c r="B164" t="s">
        <v>172</v>
      </c>
    </row>
    <row r="165" spans="1:2" x14ac:dyDescent="0.3">
      <c r="A165" t="s">
        <v>443</v>
      </c>
      <c r="B165" t="s">
        <v>172</v>
      </c>
    </row>
    <row r="166" spans="1:2" x14ac:dyDescent="0.3">
      <c r="A166" t="s">
        <v>444</v>
      </c>
      <c r="B166" t="s">
        <v>172</v>
      </c>
    </row>
    <row r="167" spans="1:2" x14ac:dyDescent="0.3">
      <c r="A167" t="s">
        <v>445</v>
      </c>
      <c r="B167" t="s">
        <v>172</v>
      </c>
    </row>
    <row r="168" spans="1:2" x14ac:dyDescent="0.3">
      <c r="A168" t="s">
        <v>446</v>
      </c>
      <c r="B168" t="s">
        <v>172</v>
      </c>
    </row>
    <row r="169" spans="1:2" x14ac:dyDescent="0.3">
      <c r="A169" t="s">
        <v>447</v>
      </c>
      <c r="B169" t="s">
        <v>172</v>
      </c>
    </row>
    <row r="170" spans="1:2" x14ac:dyDescent="0.3">
      <c r="A170" t="s">
        <v>448</v>
      </c>
      <c r="B170" t="s">
        <v>172</v>
      </c>
    </row>
    <row r="171" spans="1:2" x14ac:dyDescent="0.3">
      <c r="A171" t="s">
        <v>449</v>
      </c>
      <c r="B171" t="s">
        <v>172</v>
      </c>
    </row>
    <row r="172" spans="1:2" x14ac:dyDescent="0.3">
      <c r="A172" t="s">
        <v>450</v>
      </c>
      <c r="B172" t="s">
        <v>172</v>
      </c>
    </row>
    <row r="173" spans="1:2" x14ac:dyDescent="0.3">
      <c r="A173" t="s">
        <v>451</v>
      </c>
      <c r="B173" t="s">
        <v>172</v>
      </c>
    </row>
    <row r="174" spans="1:2" x14ac:dyDescent="0.3">
      <c r="A174" t="s">
        <v>452</v>
      </c>
      <c r="B174" t="s">
        <v>172</v>
      </c>
    </row>
    <row r="175" spans="1:2" x14ac:dyDescent="0.3">
      <c r="A175" t="s">
        <v>453</v>
      </c>
      <c r="B175" t="s">
        <v>172</v>
      </c>
    </row>
    <row r="176" spans="1:2" x14ac:dyDescent="0.3">
      <c r="A176" t="s">
        <v>454</v>
      </c>
      <c r="B176" t="s">
        <v>172</v>
      </c>
    </row>
    <row r="177" spans="1:2" x14ac:dyDescent="0.3">
      <c r="A177" t="s">
        <v>455</v>
      </c>
      <c r="B177" t="s">
        <v>172</v>
      </c>
    </row>
    <row r="178" spans="1:2" x14ac:dyDescent="0.3">
      <c r="A178" t="s">
        <v>456</v>
      </c>
      <c r="B178" t="s">
        <v>172</v>
      </c>
    </row>
    <row r="179" spans="1:2" x14ac:dyDescent="0.3">
      <c r="A179" t="s">
        <v>457</v>
      </c>
      <c r="B179" t="s">
        <v>172</v>
      </c>
    </row>
    <row r="180" spans="1:2" x14ac:dyDescent="0.3">
      <c r="A180" t="s">
        <v>458</v>
      </c>
      <c r="B180" t="s">
        <v>172</v>
      </c>
    </row>
    <row r="181" spans="1:2" x14ac:dyDescent="0.3">
      <c r="A181" t="s">
        <v>459</v>
      </c>
      <c r="B181" t="s">
        <v>172</v>
      </c>
    </row>
    <row r="182" spans="1:2" x14ac:dyDescent="0.3">
      <c r="A182" t="s">
        <v>460</v>
      </c>
      <c r="B182" t="s">
        <v>172</v>
      </c>
    </row>
    <row r="183" spans="1:2" x14ac:dyDescent="0.3">
      <c r="A183" t="s">
        <v>461</v>
      </c>
      <c r="B183" t="s">
        <v>172</v>
      </c>
    </row>
    <row r="184" spans="1:2" x14ac:dyDescent="0.3">
      <c r="A184" t="s">
        <v>462</v>
      </c>
      <c r="B184" t="s">
        <v>172</v>
      </c>
    </row>
    <row r="185" spans="1:2" x14ac:dyDescent="0.3">
      <c r="A185" t="s">
        <v>463</v>
      </c>
      <c r="B185" t="s">
        <v>172</v>
      </c>
    </row>
    <row r="186" spans="1:2" x14ac:dyDescent="0.3">
      <c r="A186" t="s">
        <v>464</v>
      </c>
      <c r="B186" t="s">
        <v>172</v>
      </c>
    </row>
    <row r="187" spans="1:2" x14ac:dyDescent="0.3">
      <c r="A187" t="s">
        <v>465</v>
      </c>
      <c r="B187" t="s">
        <v>172</v>
      </c>
    </row>
    <row r="188" spans="1:2" x14ac:dyDescent="0.3">
      <c r="A188" t="s">
        <v>466</v>
      </c>
      <c r="B188" t="s">
        <v>172</v>
      </c>
    </row>
    <row r="189" spans="1:2" x14ac:dyDescent="0.3">
      <c r="A189" t="s">
        <v>467</v>
      </c>
      <c r="B189" t="s">
        <v>172</v>
      </c>
    </row>
    <row r="190" spans="1:2" x14ac:dyDescent="0.3">
      <c r="A190" t="s">
        <v>468</v>
      </c>
      <c r="B190" t="s">
        <v>172</v>
      </c>
    </row>
    <row r="191" spans="1:2" x14ac:dyDescent="0.3">
      <c r="A191" t="s">
        <v>469</v>
      </c>
      <c r="B191" t="s">
        <v>172</v>
      </c>
    </row>
    <row r="192" spans="1:2" x14ac:dyDescent="0.3">
      <c r="A192" t="s">
        <v>470</v>
      </c>
      <c r="B192" t="s">
        <v>172</v>
      </c>
    </row>
    <row r="193" spans="1:2" x14ac:dyDescent="0.3">
      <c r="A193" t="s">
        <v>116</v>
      </c>
      <c r="B193" t="s">
        <v>172</v>
      </c>
    </row>
    <row r="194" spans="1:2" x14ac:dyDescent="0.3">
      <c r="A194" t="s">
        <v>471</v>
      </c>
      <c r="B194" t="s">
        <v>172</v>
      </c>
    </row>
    <row r="195" spans="1:2" x14ac:dyDescent="0.3">
      <c r="A195" t="s">
        <v>472</v>
      </c>
      <c r="B195" t="s">
        <v>172</v>
      </c>
    </row>
    <row r="196" spans="1:2" x14ac:dyDescent="0.3">
      <c r="A196" t="s">
        <v>473</v>
      </c>
      <c r="B196" t="s">
        <v>172</v>
      </c>
    </row>
    <row r="197" spans="1:2" x14ac:dyDescent="0.3">
      <c r="A197" t="s">
        <v>474</v>
      </c>
      <c r="B197" t="s">
        <v>172</v>
      </c>
    </row>
    <row r="198" spans="1:2" x14ac:dyDescent="0.3">
      <c r="A198" t="s">
        <v>475</v>
      </c>
      <c r="B198" t="s">
        <v>172</v>
      </c>
    </row>
    <row r="199" spans="1:2" x14ac:dyDescent="0.3">
      <c r="A199" t="s">
        <v>476</v>
      </c>
      <c r="B199" t="s">
        <v>172</v>
      </c>
    </row>
    <row r="200" spans="1:2" x14ac:dyDescent="0.3">
      <c r="A200" t="s">
        <v>477</v>
      </c>
      <c r="B200" t="s">
        <v>172</v>
      </c>
    </row>
    <row r="201" spans="1:2" x14ac:dyDescent="0.3">
      <c r="A201" t="s">
        <v>478</v>
      </c>
      <c r="B201" t="s">
        <v>172</v>
      </c>
    </row>
    <row r="202" spans="1:2" x14ac:dyDescent="0.3">
      <c r="A202" t="s">
        <v>479</v>
      </c>
      <c r="B202" t="s">
        <v>172</v>
      </c>
    </row>
    <row r="203" spans="1:2" x14ac:dyDescent="0.3">
      <c r="A203" t="s">
        <v>480</v>
      </c>
      <c r="B203" t="s">
        <v>172</v>
      </c>
    </row>
    <row r="204" spans="1:2" x14ac:dyDescent="0.3">
      <c r="A204" t="s">
        <v>481</v>
      </c>
      <c r="B204" t="s">
        <v>172</v>
      </c>
    </row>
    <row r="205" spans="1:2" x14ac:dyDescent="0.3">
      <c r="A205" t="s">
        <v>482</v>
      </c>
      <c r="B205" t="s">
        <v>172</v>
      </c>
    </row>
    <row r="206" spans="1:2" x14ac:dyDescent="0.3">
      <c r="A206" t="s">
        <v>483</v>
      </c>
      <c r="B206" t="s">
        <v>172</v>
      </c>
    </row>
    <row r="207" spans="1:2" x14ac:dyDescent="0.3">
      <c r="B207" t="s">
        <v>484</v>
      </c>
    </row>
    <row r="208" spans="1:2" x14ac:dyDescent="0.3">
      <c r="B208" t="s">
        <v>484</v>
      </c>
    </row>
    <row r="209" spans="1:2" x14ac:dyDescent="0.3">
      <c r="A209" t="s">
        <v>485</v>
      </c>
      <c r="B209" t="s">
        <v>484</v>
      </c>
    </row>
    <row r="210" spans="1:2" x14ac:dyDescent="0.3">
      <c r="A210" t="s">
        <v>486</v>
      </c>
      <c r="B210" t="s">
        <v>484</v>
      </c>
    </row>
    <row r="211" spans="1:2" x14ac:dyDescent="0.3">
      <c r="A211" t="s">
        <v>487</v>
      </c>
      <c r="B211" t="s">
        <v>484</v>
      </c>
    </row>
    <row r="212" spans="1:2" x14ac:dyDescent="0.3">
      <c r="A212" t="s">
        <v>488</v>
      </c>
      <c r="B212" t="s">
        <v>484</v>
      </c>
    </row>
    <row r="213" spans="1:2" x14ac:dyDescent="0.3">
      <c r="B213" t="s">
        <v>484</v>
      </c>
    </row>
    <row r="214" spans="1:2" x14ac:dyDescent="0.3">
      <c r="A214" t="s">
        <v>489</v>
      </c>
      <c r="B214" t="s">
        <v>484</v>
      </c>
    </row>
    <row r="215" spans="1:2" x14ac:dyDescent="0.3">
      <c r="B215" t="s">
        <v>484</v>
      </c>
    </row>
    <row r="216" spans="1:2" x14ac:dyDescent="0.3">
      <c r="A216" t="s">
        <v>490</v>
      </c>
      <c r="B216" t="s">
        <v>484</v>
      </c>
    </row>
    <row r="217" spans="1:2" x14ac:dyDescent="0.3">
      <c r="A217" t="s">
        <v>491</v>
      </c>
      <c r="B217" t="s">
        <v>484</v>
      </c>
    </row>
    <row r="218" spans="1:2" x14ac:dyDescent="0.3">
      <c r="B218" t="s">
        <v>484</v>
      </c>
    </row>
    <row r="219" spans="1:2" x14ac:dyDescent="0.3">
      <c r="B219" t="s">
        <v>484</v>
      </c>
    </row>
    <row r="220" spans="1:2" x14ac:dyDescent="0.3">
      <c r="A220" t="s">
        <v>492</v>
      </c>
      <c r="B220" t="s">
        <v>484</v>
      </c>
    </row>
    <row r="221" spans="1:2" x14ac:dyDescent="0.3">
      <c r="A221" t="s">
        <v>493</v>
      </c>
      <c r="B221" t="s">
        <v>484</v>
      </c>
    </row>
    <row r="222" spans="1:2" x14ac:dyDescent="0.3">
      <c r="A222" t="s">
        <v>494</v>
      </c>
      <c r="B222" t="s">
        <v>484</v>
      </c>
    </row>
    <row r="223" spans="1:2" x14ac:dyDescent="0.3">
      <c r="A223" t="s">
        <v>495</v>
      </c>
      <c r="B223" t="s">
        <v>484</v>
      </c>
    </row>
    <row r="224" spans="1:2" x14ac:dyDescent="0.3">
      <c r="A224" t="s">
        <v>496</v>
      </c>
      <c r="B224" t="s">
        <v>484</v>
      </c>
    </row>
    <row r="225" spans="1:2" x14ac:dyDescent="0.3">
      <c r="B225" t="s">
        <v>484</v>
      </c>
    </row>
    <row r="226" spans="1:2" x14ac:dyDescent="0.3">
      <c r="A226" t="s">
        <v>497</v>
      </c>
      <c r="B226" t="s">
        <v>484</v>
      </c>
    </row>
    <row r="227" spans="1:2" x14ac:dyDescent="0.3">
      <c r="A227" t="s">
        <v>498</v>
      </c>
      <c r="B227" t="s">
        <v>484</v>
      </c>
    </row>
    <row r="228" spans="1:2" x14ac:dyDescent="0.3">
      <c r="A228" t="s">
        <v>499</v>
      </c>
      <c r="B228" t="s">
        <v>484</v>
      </c>
    </row>
    <row r="229" spans="1:2" x14ac:dyDescent="0.3">
      <c r="A229" t="s">
        <v>500</v>
      </c>
      <c r="B229" t="s">
        <v>484</v>
      </c>
    </row>
    <row r="230" spans="1:2" x14ac:dyDescent="0.3">
      <c r="A230" t="s">
        <v>501</v>
      </c>
      <c r="B230" t="s">
        <v>484</v>
      </c>
    </row>
    <row r="231" spans="1:2" x14ac:dyDescent="0.3">
      <c r="B231" t="s">
        <v>484</v>
      </c>
    </row>
    <row r="232" spans="1:2" x14ac:dyDescent="0.3">
      <c r="A232" t="s">
        <v>502</v>
      </c>
      <c r="B232" t="s">
        <v>484</v>
      </c>
    </row>
    <row r="233" spans="1:2" x14ac:dyDescent="0.3">
      <c r="A233" t="s">
        <v>503</v>
      </c>
      <c r="B233" t="s">
        <v>484</v>
      </c>
    </row>
    <row r="234" spans="1:2" x14ac:dyDescent="0.3">
      <c r="A234" t="s">
        <v>504</v>
      </c>
      <c r="B234" t="s">
        <v>484</v>
      </c>
    </row>
    <row r="235" spans="1:2" x14ac:dyDescent="0.3">
      <c r="A235" t="s">
        <v>505</v>
      </c>
      <c r="B235" t="s">
        <v>484</v>
      </c>
    </row>
    <row r="236" spans="1:2" x14ac:dyDescent="0.3">
      <c r="A236" t="s">
        <v>185</v>
      </c>
      <c r="B236" t="s">
        <v>484</v>
      </c>
    </row>
    <row r="237" spans="1:2" x14ac:dyDescent="0.3">
      <c r="A237" t="s">
        <v>506</v>
      </c>
      <c r="B237" t="s">
        <v>484</v>
      </c>
    </row>
    <row r="238" spans="1:2" x14ac:dyDescent="0.3">
      <c r="A238" t="s">
        <v>507</v>
      </c>
      <c r="B238" t="s">
        <v>484</v>
      </c>
    </row>
    <row r="239" spans="1:2" x14ac:dyDescent="0.3">
      <c r="A239" t="s">
        <v>508</v>
      </c>
      <c r="B239" t="s">
        <v>484</v>
      </c>
    </row>
    <row r="240" spans="1:2" x14ac:dyDescent="0.3">
      <c r="A240" t="s">
        <v>509</v>
      </c>
      <c r="B240" t="s">
        <v>484</v>
      </c>
    </row>
    <row r="241" spans="1:2" x14ac:dyDescent="0.3">
      <c r="A241" t="s">
        <v>510</v>
      </c>
      <c r="B241" t="s">
        <v>484</v>
      </c>
    </row>
    <row r="242" spans="1:2" x14ac:dyDescent="0.3">
      <c r="A242" t="s">
        <v>511</v>
      </c>
      <c r="B242" t="s">
        <v>484</v>
      </c>
    </row>
    <row r="243" spans="1:2" x14ac:dyDescent="0.3">
      <c r="A243" t="s">
        <v>512</v>
      </c>
      <c r="B243" t="s">
        <v>484</v>
      </c>
    </row>
    <row r="244" spans="1:2" x14ac:dyDescent="0.3">
      <c r="A244" t="s">
        <v>513</v>
      </c>
      <c r="B244" t="s">
        <v>514</v>
      </c>
    </row>
    <row r="245" spans="1:2" x14ac:dyDescent="0.3">
      <c r="A245" t="s">
        <v>515</v>
      </c>
      <c r="B245" t="s">
        <v>516</v>
      </c>
    </row>
    <row r="246" spans="1:2" x14ac:dyDescent="0.3">
      <c r="A246" t="s">
        <v>517</v>
      </c>
      <c r="B246" t="s">
        <v>516</v>
      </c>
    </row>
    <row r="247" spans="1:2" x14ac:dyDescent="0.3">
      <c r="A247" t="s">
        <v>147</v>
      </c>
      <c r="B247" t="s">
        <v>185</v>
      </c>
    </row>
    <row r="248" spans="1:2" x14ac:dyDescent="0.3">
      <c r="A248" t="s">
        <v>518</v>
      </c>
      <c r="B248" t="s">
        <v>185</v>
      </c>
    </row>
    <row r="249" spans="1:2" x14ac:dyDescent="0.3">
      <c r="B249" t="s">
        <v>185</v>
      </c>
    </row>
    <row r="250" spans="1:2" x14ac:dyDescent="0.3">
      <c r="A250" t="s">
        <v>519</v>
      </c>
      <c r="B250" t="s">
        <v>185</v>
      </c>
    </row>
    <row r="251" spans="1:2" x14ac:dyDescent="0.3">
      <c r="A251" t="s">
        <v>520</v>
      </c>
      <c r="B251" t="s">
        <v>185</v>
      </c>
    </row>
    <row r="252" spans="1:2" x14ac:dyDescent="0.3">
      <c r="A252" t="s">
        <v>521</v>
      </c>
      <c r="B252" t="s">
        <v>522</v>
      </c>
    </row>
    <row r="253" spans="1:2" x14ac:dyDescent="0.3">
      <c r="A253" t="s">
        <v>523</v>
      </c>
      <c r="B253" t="s">
        <v>522</v>
      </c>
    </row>
    <row r="254" spans="1:2" x14ac:dyDescent="0.3">
      <c r="A254" t="s">
        <v>524</v>
      </c>
      <c r="B254" t="s">
        <v>522</v>
      </c>
    </row>
    <row r="255" spans="1:2" x14ac:dyDescent="0.3">
      <c r="A255" t="s">
        <v>525</v>
      </c>
      <c r="B255" t="s">
        <v>522</v>
      </c>
    </row>
    <row r="256" spans="1:2" x14ac:dyDescent="0.3">
      <c r="A256" t="s">
        <v>526</v>
      </c>
      <c r="B256" t="s">
        <v>522</v>
      </c>
    </row>
    <row r="257" spans="1:2" x14ac:dyDescent="0.3">
      <c r="A257" t="s">
        <v>527</v>
      </c>
      <c r="B257" t="s">
        <v>522</v>
      </c>
    </row>
    <row r="258" spans="1:2" x14ac:dyDescent="0.3">
      <c r="A258" t="s">
        <v>528</v>
      </c>
      <c r="B258" t="s">
        <v>522</v>
      </c>
    </row>
    <row r="259" spans="1:2" x14ac:dyDescent="0.3">
      <c r="A259" t="s">
        <v>529</v>
      </c>
      <c r="B259" t="s">
        <v>196</v>
      </c>
    </row>
    <row r="260" spans="1:2" x14ac:dyDescent="0.3">
      <c r="A260" t="s">
        <v>530</v>
      </c>
      <c r="B260" t="s">
        <v>196</v>
      </c>
    </row>
    <row r="261" spans="1:2" x14ac:dyDescent="0.3">
      <c r="A261" t="s">
        <v>531</v>
      </c>
      <c r="B261" t="s">
        <v>196</v>
      </c>
    </row>
    <row r="262" spans="1:2" x14ac:dyDescent="0.3">
      <c r="A262" t="s">
        <v>532</v>
      </c>
      <c r="B262" t="s">
        <v>196</v>
      </c>
    </row>
    <row r="263" spans="1:2" x14ac:dyDescent="0.3">
      <c r="A263" t="s">
        <v>533</v>
      </c>
      <c r="B263" t="s">
        <v>196</v>
      </c>
    </row>
    <row r="264" spans="1:2" x14ac:dyDescent="0.3">
      <c r="A264" t="s">
        <v>534</v>
      </c>
      <c r="B264" t="s">
        <v>196</v>
      </c>
    </row>
    <row r="265" spans="1:2" x14ac:dyDescent="0.3">
      <c r="A265" t="s">
        <v>535</v>
      </c>
      <c r="B265" t="s">
        <v>196</v>
      </c>
    </row>
    <row r="266" spans="1:2" x14ac:dyDescent="0.3">
      <c r="A266" t="s">
        <v>536</v>
      </c>
      <c r="B266" t="s">
        <v>196</v>
      </c>
    </row>
    <row r="267" spans="1:2" x14ac:dyDescent="0.3">
      <c r="A267" t="s">
        <v>537</v>
      </c>
      <c r="B267" t="s">
        <v>196</v>
      </c>
    </row>
    <row r="268" spans="1:2" x14ac:dyDescent="0.3">
      <c r="A268" t="s">
        <v>538</v>
      </c>
      <c r="B268" t="s">
        <v>196</v>
      </c>
    </row>
    <row r="269" spans="1:2" x14ac:dyDescent="0.3">
      <c r="A269" t="s">
        <v>539</v>
      </c>
      <c r="B269" t="s">
        <v>196</v>
      </c>
    </row>
    <row r="270" spans="1:2" x14ac:dyDescent="0.3">
      <c r="A270" t="s">
        <v>540</v>
      </c>
      <c r="B270" t="s">
        <v>196</v>
      </c>
    </row>
    <row r="271" spans="1:2" x14ac:dyDescent="0.3">
      <c r="A271" t="s">
        <v>541</v>
      </c>
      <c r="B271" t="s">
        <v>196</v>
      </c>
    </row>
    <row r="272" spans="1:2" x14ac:dyDescent="0.3">
      <c r="A272" t="s">
        <v>213</v>
      </c>
      <c r="B272" t="s">
        <v>196</v>
      </c>
    </row>
    <row r="273" spans="1:2" x14ac:dyDescent="0.3">
      <c r="A273" t="s">
        <v>542</v>
      </c>
      <c r="B273" t="s">
        <v>196</v>
      </c>
    </row>
    <row r="274" spans="1:2" x14ac:dyDescent="0.3">
      <c r="A274" t="s">
        <v>543</v>
      </c>
      <c r="B274" t="s">
        <v>196</v>
      </c>
    </row>
    <row r="275" spans="1:2" x14ac:dyDescent="0.3">
      <c r="A275" t="s">
        <v>544</v>
      </c>
      <c r="B275" t="s">
        <v>196</v>
      </c>
    </row>
    <row r="276" spans="1:2" x14ac:dyDescent="0.3">
      <c r="A276" t="s">
        <v>545</v>
      </c>
      <c r="B276" t="s">
        <v>196</v>
      </c>
    </row>
    <row r="277" spans="1:2" x14ac:dyDescent="0.3">
      <c r="A277" t="s">
        <v>546</v>
      </c>
      <c r="B277" t="s">
        <v>196</v>
      </c>
    </row>
    <row r="278" spans="1:2" x14ac:dyDescent="0.3">
      <c r="A278" t="s">
        <v>547</v>
      </c>
      <c r="B278" t="s">
        <v>548</v>
      </c>
    </row>
    <row r="279" spans="1:2" x14ac:dyDescent="0.3">
      <c r="A279" t="s">
        <v>549</v>
      </c>
      <c r="B279" t="s">
        <v>548</v>
      </c>
    </row>
    <row r="280" spans="1:2" x14ac:dyDescent="0.3">
      <c r="A280" t="s">
        <v>550</v>
      </c>
      <c r="B280" t="s">
        <v>548</v>
      </c>
    </row>
    <row r="281" spans="1:2" x14ac:dyDescent="0.3">
      <c r="A281" t="s">
        <v>551</v>
      </c>
      <c r="B281" t="s">
        <v>548</v>
      </c>
    </row>
    <row r="282" spans="1:2" x14ac:dyDescent="0.3">
      <c r="B282" t="s">
        <v>548</v>
      </c>
    </row>
    <row r="283" spans="1:2" x14ac:dyDescent="0.3">
      <c r="B283" t="s">
        <v>548</v>
      </c>
    </row>
    <row r="284" spans="1:2" x14ac:dyDescent="0.3">
      <c r="A284" t="s">
        <v>552</v>
      </c>
      <c r="B284" t="s">
        <v>548</v>
      </c>
    </row>
    <row r="285" spans="1:2" x14ac:dyDescent="0.3">
      <c r="A285" t="s">
        <v>553</v>
      </c>
      <c r="B285" t="s">
        <v>554</v>
      </c>
    </row>
    <row r="286" spans="1:2" x14ac:dyDescent="0.3">
      <c r="A286" t="s">
        <v>554</v>
      </c>
      <c r="B286" t="s">
        <v>554</v>
      </c>
    </row>
    <row r="287" spans="1:2" x14ac:dyDescent="0.3">
      <c r="B287" t="s">
        <v>554</v>
      </c>
    </row>
    <row r="288" spans="1:2" x14ac:dyDescent="0.3">
      <c r="B288" t="s">
        <v>554</v>
      </c>
    </row>
    <row r="289" spans="1:2" x14ac:dyDescent="0.3">
      <c r="A289" t="s">
        <v>555</v>
      </c>
      <c r="B289" t="s">
        <v>554</v>
      </c>
    </row>
    <row r="290" spans="1:2" x14ac:dyDescent="0.3">
      <c r="A290" t="s">
        <v>556</v>
      </c>
      <c r="B290" t="s">
        <v>554</v>
      </c>
    </row>
    <row r="291" spans="1:2" x14ac:dyDescent="0.3">
      <c r="B291" t="s">
        <v>554</v>
      </c>
    </row>
    <row r="292" spans="1:2" x14ac:dyDescent="0.3">
      <c r="A292" t="s">
        <v>557</v>
      </c>
      <c r="B292" t="s">
        <v>554</v>
      </c>
    </row>
    <row r="293" spans="1:2" x14ac:dyDescent="0.3">
      <c r="A293" t="s">
        <v>558</v>
      </c>
      <c r="B293" t="s">
        <v>554</v>
      </c>
    </row>
    <row r="294" spans="1:2" x14ac:dyDescent="0.3">
      <c r="A294" t="s">
        <v>559</v>
      </c>
      <c r="B294" t="s">
        <v>554</v>
      </c>
    </row>
    <row r="295" spans="1:2" x14ac:dyDescent="0.3">
      <c r="A295" t="s">
        <v>560</v>
      </c>
      <c r="B295" t="s">
        <v>554</v>
      </c>
    </row>
    <row r="296" spans="1:2" x14ac:dyDescent="0.3">
      <c r="A296" t="s">
        <v>561</v>
      </c>
      <c r="B296" t="s">
        <v>562</v>
      </c>
    </row>
    <row r="297" spans="1:2" x14ac:dyDescent="0.3">
      <c r="A297" t="s">
        <v>563</v>
      </c>
      <c r="B297" t="s">
        <v>562</v>
      </c>
    </row>
    <row r="298" spans="1:2" x14ac:dyDescent="0.3">
      <c r="A298" t="s">
        <v>564</v>
      </c>
      <c r="B298" t="s">
        <v>200</v>
      </c>
    </row>
    <row r="299" spans="1:2" x14ac:dyDescent="0.3">
      <c r="B299" t="s">
        <v>200</v>
      </c>
    </row>
    <row r="300" spans="1:2" x14ac:dyDescent="0.3">
      <c r="B300" t="s">
        <v>200</v>
      </c>
    </row>
    <row r="301" spans="1:2" x14ac:dyDescent="0.3">
      <c r="A301" t="s">
        <v>152</v>
      </c>
      <c r="B301" t="s">
        <v>200</v>
      </c>
    </row>
    <row r="302" spans="1:2" x14ac:dyDescent="0.3">
      <c r="B302" t="s">
        <v>200</v>
      </c>
    </row>
    <row r="303" spans="1:2" x14ac:dyDescent="0.3">
      <c r="A303" t="s">
        <v>565</v>
      </c>
      <c r="B303" t="s">
        <v>200</v>
      </c>
    </row>
    <row r="304" spans="1:2" x14ac:dyDescent="0.3">
      <c r="B304" t="s">
        <v>200</v>
      </c>
    </row>
    <row r="305" spans="1:2" x14ac:dyDescent="0.3">
      <c r="B305" t="s">
        <v>200</v>
      </c>
    </row>
    <row r="306" spans="1:2" x14ac:dyDescent="0.3">
      <c r="B306" t="s">
        <v>200</v>
      </c>
    </row>
    <row r="307" spans="1:2" x14ac:dyDescent="0.3">
      <c r="A307" t="s">
        <v>566</v>
      </c>
      <c r="B307" t="s">
        <v>200</v>
      </c>
    </row>
    <row r="308" spans="1:2" x14ac:dyDescent="0.3">
      <c r="A308" t="s">
        <v>567</v>
      </c>
      <c r="B308" t="s">
        <v>200</v>
      </c>
    </row>
    <row r="309" spans="1:2" x14ac:dyDescent="0.3">
      <c r="A309" t="s">
        <v>568</v>
      </c>
      <c r="B309" t="s">
        <v>200</v>
      </c>
    </row>
    <row r="310" spans="1:2" x14ac:dyDescent="0.3">
      <c r="B310" t="s">
        <v>200</v>
      </c>
    </row>
    <row r="311" spans="1:2" x14ac:dyDescent="0.3">
      <c r="B311" t="s">
        <v>200</v>
      </c>
    </row>
    <row r="312" spans="1:2" x14ac:dyDescent="0.3">
      <c r="B312" t="s">
        <v>200</v>
      </c>
    </row>
    <row r="313" spans="1:2" x14ac:dyDescent="0.3">
      <c r="B313" t="s">
        <v>200</v>
      </c>
    </row>
    <row r="314" spans="1:2" x14ac:dyDescent="0.3">
      <c r="B314" t="s">
        <v>200</v>
      </c>
    </row>
    <row r="315" spans="1:2" x14ac:dyDescent="0.3">
      <c r="B315" t="s">
        <v>200</v>
      </c>
    </row>
    <row r="316" spans="1:2" x14ac:dyDescent="0.3">
      <c r="A316" t="s">
        <v>569</v>
      </c>
      <c r="B316" t="s">
        <v>72</v>
      </c>
    </row>
    <row r="317" spans="1:2" x14ac:dyDescent="0.3">
      <c r="A317" t="s">
        <v>570</v>
      </c>
      <c r="B317" t="s">
        <v>72</v>
      </c>
    </row>
    <row r="318" spans="1:2" x14ac:dyDescent="0.3">
      <c r="B318" t="s">
        <v>72</v>
      </c>
    </row>
    <row r="319" spans="1:2" x14ac:dyDescent="0.3">
      <c r="B319" t="s">
        <v>72</v>
      </c>
    </row>
    <row r="320" spans="1:2" x14ac:dyDescent="0.3">
      <c r="A320" t="s">
        <v>571</v>
      </c>
      <c r="B320" t="s">
        <v>1</v>
      </c>
    </row>
    <row r="321" spans="1:2" x14ac:dyDescent="0.3">
      <c r="B321" t="s">
        <v>72</v>
      </c>
    </row>
    <row r="322" spans="1:2" x14ac:dyDescent="0.3">
      <c r="B322" t="s">
        <v>72</v>
      </c>
    </row>
    <row r="323" spans="1:2" x14ac:dyDescent="0.3">
      <c r="B323" t="s">
        <v>72</v>
      </c>
    </row>
    <row r="324" spans="1:2" x14ac:dyDescent="0.3">
      <c r="B324" t="s">
        <v>72</v>
      </c>
    </row>
    <row r="325" spans="1:2" x14ac:dyDescent="0.3">
      <c r="B325" t="s">
        <v>72</v>
      </c>
    </row>
    <row r="326" spans="1:2" x14ac:dyDescent="0.3">
      <c r="B326" t="s">
        <v>72</v>
      </c>
    </row>
    <row r="327" spans="1:2" x14ac:dyDescent="0.3">
      <c r="B327" t="s">
        <v>72</v>
      </c>
    </row>
    <row r="328" spans="1:2" x14ac:dyDescent="0.3">
      <c r="A328" t="s">
        <v>572</v>
      </c>
      <c r="B328" t="s">
        <v>72</v>
      </c>
    </row>
    <row r="329" spans="1:2" x14ac:dyDescent="0.3">
      <c r="B329" t="s">
        <v>72</v>
      </c>
    </row>
    <row r="330" spans="1:2" x14ac:dyDescent="0.3">
      <c r="B330" t="s">
        <v>72</v>
      </c>
    </row>
    <row r="331" spans="1:2" x14ac:dyDescent="0.3">
      <c r="B331" t="s">
        <v>72</v>
      </c>
    </row>
    <row r="332" spans="1:2" x14ac:dyDescent="0.3">
      <c r="B332" t="s">
        <v>72</v>
      </c>
    </row>
    <row r="333" spans="1:2" x14ac:dyDescent="0.3">
      <c r="B333" t="s">
        <v>72</v>
      </c>
    </row>
    <row r="334" spans="1:2" x14ac:dyDescent="0.3">
      <c r="B334" t="s">
        <v>72</v>
      </c>
    </row>
    <row r="335" spans="1:2" x14ac:dyDescent="0.3">
      <c r="B335" t="s">
        <v>72</v>
      </c>
    </row>
    <row r="336" spans="1:2" x14ac:dyDescent="0.3">
      <c r="A336" t="s">
        <v>573</v>
      </c>
      <c r="B336" t="s">
        <v>72</v>
      </c>
    </row>
    <row r="337" spans="1:2" x14ac:dyDescent="0.3">
      <c r="A337" t="s">
        <v>574</v>
      </c>
      <c r="B337" t="s">
        <v>72</v>
      </c>
    </row>
    <row r="338" spans="1:2" x14ac:dyDescent="0.3">
      <c r="A338" t="s">
        <v>575</v>
      </c>
      <c r="B338" t="s">
        <v>72</v>
      </c>
    </row>
    <row r="339" spans="1:2" x14ac:dyDescent="0.3">
      <c r="A339" t="s">
        <v>2</v>
      </c>
      <c r="B339" t="s">
        <v>72</v>
      </c>
    </row>
    <row r="340" spans="1:2" x14ac:dyDescent="0.3">
      <c r="A340" t="s">
        <v>576</v>
      </c>
      <c r="B340" t="s">
        <v>72</v>
      </c>
    </row>
    <row r="341" spans="1:2" x14ac:dyDescent="0.3">
      <c r="A341" t="s">
        <v>577</v>
      </c>
      <c r="B341" t="s">
        <v>72</v>
      </c>
    </row>
    <row r="342" spans="1:2" x14ac:dyDescent="0.3">
      <c r="A342" t="s">
        <v>578</v>
      </c>
      <c r="B342" t="s">
        <v>72</v>
      </c>
    </row>
    <row r="343" spans="1:2" x14ac:dyDescent="0.3">
      <c r="A343" t="s">
        <v>579</v>
      </c>
      <c r="B343" t="s">
        <v>72</v>
      </c>
    </row>
    <row r="344" spans="1:2" x14ac:dyDescent="0.3">
      <c r="A344" t="s">
        <v>580</v>
      </c>
      <c r="B344" t="s">
        <v>72</v>
      </c>
    </row>
    <row r="345" spans="1:2" x14ac:dyDescent="0.3">
      <c r="A345" t="s">
        <v>209</v>
      </c>
      <c r="B345" t="s">
        <v>72</v>
      </c>
    </row>
    <row r="346" spans="1:2" x14ac:dyDescent="0.3">
      <c r="A346" t="s">
        <v>581</v>
      </c>
      <c r="B346" t="s">
        <v>72</v>
      </c>
    </row>
    <row r="347" spans="1:2" x14ac:dyDescent="0.3">
      <c r="A347" t="s">
        <v>582</v>
      </c>
      <c r="B347" t="s">
        <v>72</v>
      </c>
    </row>
    <row r="348" spans="1:2" x14ac:dyDescent="0.3">
      <c r="A348" t="s">
        <v>583</v>
      </c>
      <c r="B348" t="s">
        <v>72</v>
      </c>
    </row>
    <row r="349" spans="1:2" x14ac:dyDescent="0.3">
      <c r="A349" t="s">
        <v>584</v>
      </c>
      <c r="B349" t="s">
        <v>72</v>
      </c>
    </row>
    <row r="350" spans="1:2" x14ac:dyDescent="0.3">
      <c r="A350" t="s">
        <v>585</v>
      </c>
      <c r="B350" t="s">
        <v>72</v>
      </c>
    </row>
    <row r="351" spans="1:2" x14ac:dyDescent="0.3">
      <c r="A351" t="s">
        <v>586</v>
      </c>
      <c r="B351" t="s">
        <v>72</v>
      </c>
    </row>
    <row r="352" spans="1:2" x14ac:dyDescent="0.3">
      <c r="A352" t="s">
        <v>587</v>
      </c>
      <c r="B352" t="s">
        <v>72</v>
      </c>
    </row>
    <row r="353" spans="1:2" x14ac:dyDescent="0.3">
      <c r="B353" t="s">
        <v>72</v>
      </c>
    </row>
    <row r="354" spans="1:2" x14ac:dyDescent="0.3">
      <c r="A354" t="s">
        <v>588</v>
      </c>
      <c r="B354" t="s">
        <v>72</v>
      </c>
    </row>
    <row r="355" spans="1:2" x14ac:dyDescent="0.3">
      <c r="A355" t="s">
        <v>589</v>
      </c>
      <c r="B355" t="s">
        <v>72</v>
      </c>
    </row>
    <row r="356" spans="1:2" x14ac:dyDescent="0.3">
      <c r="B356" t="s">
        <v>72</v>
      </c>
    </row>
    <row r="357" spans="1:2" x14ac:dyDescent="0.3">
      <c r="B357" t="s">
        <v>72</v>
      </c>
    </row>
    <row r="358" spans="1:2" x14ac:dyDescent="0.3">
      <c r="B358" t="s">
        <v>72</v>
      </c>
    </row>
    <row r="359" spans="1:2" x14ac:dyDescent="0.3">
      <c r="B359" t="s">
        <v>72</v>
      </c>
    </row>
    <row r="360" spans="1:2" x14ac:dyDescent="0.3">
      <c r="B360" t="s">
        <v>72</v>
      </c>
    </row>
    <row r="361" spans="1:2" x14ac:dyDescent="0.3">
      <c r="A361" t="s">
        <v>590</v>
      </c>
      <c r="B361" t="s">
        <v>72</v>
      </c>
    </row>
    <row r="362" spans="1:2" x14ac:dyDescent="0.3">
      <c r="A362" t="s">
        <v>591</v>
      </c>
      <c r="B362" t="s">
        <v>72</v>
      </c>
    </row>
    <row r="363" spans="1:2" x14ac:dyDescent="0.3">
      <c r="A363" t="s">
        <v>592</v>
      </c>
      <c r="B363" t="s">
        <v>72</v>
      </c>
    </row>
    <row r="364" spans="1:2" x14ac:dyDescent="0.3">
      <c r="B364" t="s">
        <v>72</v>
      </c>
    </row>
    <row r="365" spans="1:2" x14ac:dyDescent="0.3">
      <c r="B365" t="s">
        <v>72</v>
      </c>
    </row>
    <row r="366" spans="1:2" x14ac:dyDescent="0.3">
      <c r="A366" t="s">
        <v>593</v>
      </c>
      <c r="B366" t="s">
        <v>72</v>
      </c>
    </row>
    <row r="367" spans="1:2" x14ac:dyDescent="0.3">
      <c r="A367" t="s">
        <v>594</v>
      </c>
      <c r="B367" t="s">
        <v>72</v>
      </c>
    </row>
    <row r="368" spans="1:2" x14ac:dyDescent="0.3">
      <c r="B368" t="s">
        <v>72</v>
      </c>
    </row>
    <row r="369" spans="1:2" x14ac:dyDescent="0.3">
      <c r="A369" t="s">
        <v>595</v>
      </c>
      <c r="B369" t="s">
        <v>72</v>
      </c>
    </row>
    <row r="370" spans="1:2" x14ac:dyDescent="0.3">
      <c r="A370" t="s">
        <v>596</v>
      </c>
      <c r="B370" t="s">
        <v>72</v>
      </c>
    </row>
    <row r="371" spans="1:2" x14ac:dyDescent="0.3">
      <c r="B371" t="s">
        <v>72</v>
      </c>
    </row>
    <row r="372" spans="1:2" x14ac:dyDescent="0.3">
      <c r="A372" t="s">
        <v>597</v>
      </c>
      <c r="B372" t="s">
        <v>72</v>
      </c>
    </row>
    <row r="373" spans="1:2" x14ac:dyDescent="0.3">
      <c r="A373" t="s">
        <v>598</v>
      </c>
      <c r="B373" t="s">
        <v>72</v>
      </c>
    </row>
    <row r="374" spans="1:2" x14ac:dyDescent="0.3">
      <c r="B374" t="s">
        <v>72</v>
      </c>
    </row>
    <row r="375" spans="1:2" x14ac:dyDescent="0.3">
      <c r="B375" t="s">
        <v>72</v>
      </c>
    </row>
    <row r="376" spans="1:2" x14ac:dyDescent="0.3">
      <c r="B376" t="s">
        <v>72</v>
      </c>
    </row>
    <row r="377" spans="1:2" x14ac:dyDescent="0.3">
      <c r="A377" t="s">
        <v>599</v>
      </c>
      <c r="B377" t="s">
        <v>72</v>
      </c>
    </row>
    <row r="378" spans="1:2" x14ac:dyDescent="0.3">
      <c r="B378" t="s">
        <v>72</v>
      </c>
    </row>
    <row r="379" spans="1:2" x14ac:dyDescent="0.3">
      <c r="B379" t="s">
        <v>72</v>
      </c>
    </row>
    <row r="380" spans="1:2" x14ac:dyDescent="0.3">
      <c r="B380" t="s">
        <v>72</v>
      </c>
    </row>
    <row r="381" spans="1:2" x14ac:dyDescent="0.3">
      <c r="A381" t="s">
        <v>600</v>
      </c>
      <c r="B381" t="s">
        <v>72</v>
      </c>
    </row>
    <row r="382" spans="1:2" x14ac:dyDescent="0.3">
      <c r="A382" t="s">
        <v>601</v>
      </c>
      <c r="B382" t="s">
        <v>72</v>
      </c>
    </row>
    <row r="383" spans="1:2" x14ac:dyDescent="0.3">
      <c r="A383" t="s">
        <v>602</v>
      </c>
      <c r="B383" t="s">
        <v>72</v>
      </c>
    </row>
    <row r="384" spans="1:2" x14ac:dyDescent="0.3">
      <c r="B384" t="s">
        <v>72</v>
      </c>
    </row>
    <row r="385" spans="1:2" x14ac:dyDescent="0.3">
      <c r="A385" t="s">
        <v>603</v>
      </c>
      <c r="B385" t="s">
        <v>72</v>
      </c>
    </row>
    <row r="386" spans="1:2" x14ac:dyDescent="0.3">
      <c r="B386" t="s">
        <v>72</v>
      </c>
    </row>
    <row r="387" spans="1:2" x14ac:dyDescent="0.3">
      <c r="A387" t="s">
        <v>604</v>
      </c>
      <c r="B387" t="s">
        <v>72</v>
      </c>
    </row>
    <row r="388" spans="1:2" x14ac:dyDescent="0.3">
      <c r="B388" t="s">
        <v>72</v>
      </c>
    </row>
    <row r="389" spans="1:2" x14ac:dyDescent="0.3">
      <c r="A389" t="s">
        <v>605</v>
      </c>
      <c r="B389" t="s">
        <v>72</v>
      </c>
    </row>
    <row r="390" spans="1:2" x14ac:dyDescent="0.3">
      <c r="A390" t="s">
        <v>606</v>
      </c>
      <c r="B390" t="s">
        <v>72</v>
      </c>
    </row>
    <row r="391" spans="1:2" x14ac:dyDescent="0.3">
      <c r="A391" t="s">
        <v>607</v>
      </c>
      <c r="B391" t="s">
        <v>72</v>
      </c>
    </row>
    <row r="392" spans="1:2" x14ac:dyDescent="0.3">
      <c r="B392" t="s">
        <v>72</v>
      </c>
    </row>
    <row r="393" spans="1:2" x14ac:dyDescent="0.3">
      <c r="A393" t="s">
        <v>608</v>
      </c>
      <c r="B393" t="s">
        <v>72</v>
      </c>
    </row>
    <row r="394" spans="1:2" x14ac:dyDescent="0.3">
      <c r="B394" t="s">
        <v>72</v>
      </c>
    </row>
    <row r="395" spans="1:2" x14ac:dyDescent="0.3">
      <c r="B395" t="s">
        <v>72</v>
      </c>
    </row>
    <row r="396" spans="1:2" x14ac:dyDescent="0.3">
      <c r="B396" t="s">
        <v>72</v>
      </c>
    </row>
    <row r="397" spans="1:2" x14ac:dyDescent="0.3">
      <c r="B397" t="s">
        <v>72</v>
      </c>
    </row>
    <row r="398" spans="1:2" x14ac:dyDescent="0.3">
      <c r="A398" t="s">
        <v>609</v>
      </c>
      <c r="B398" t="s">
        <v>72</v>
      </c>
    </row>
    <row r="399" spans="1:2" x14ac:dyDescent="0.3">
      <c r="A399" t="s">
        <v>610</v>
      </c>
      <c r="B399" t="s">
        <v>72</v>
      </c>
    </row>
    <row r="400" spans="1:2" x14ac:dyDescent="0.3">
      <c r="B400" t="s">
        <v>72</v>
      </c>
    </row>
    <row r="401" spans="1:2" x14ac:dyDescent="0.3">
      <c r="A401" t="s">
        <v>611</v>
      </c>
      <c r="B401" t="s">
        <v>72</v>
      </c>
    </row>
    <row r="402" spans="1:2" x14ac:dyDescent="0.3">
      <c r="A402" t="s">
        <v>612</v>
      </c>
      <c r="B402" t="s">
        <v>72</v>
      </c>
    </row>
    <row r="403" spans="1:2" x14ac:dyDescent="0.3">
      <c r="B403" t="s">
        <v>72</v>
      </c>
    </row>
    <row r="404" spans="1:2" x14ac:dyDescent="0.3">
      <c r="A404" t="s">
        <v>613</v>
      </c>
      <c r="B404" t="s">
        <v>72</v>
      </c>
    </row>
    <row r="405" spans="1:2" x14ac:dyDescent="0.3">
      <c r="A405" t="s">
        <v>614</v>
      </c>
      <c r="B405" t="s">
        <v>72</v>
      </c>
    </row>
    <row r="406" spans="1:2" x14ac:dyDescent="0.3">
      <c r="A406" t="s">
        <v>615</v>
      </c>
      <c r="B406" t="s">
        <v>72</v>
      </c>
    </row>
    <row r="407" spans="1:2" x14ac:dyDescent="0.3">
      <c r="A407" t="s">
        <v>616</v>
      </c>
      <c r="B407" t="s">
        <v>72</v>
      </c>
    </row>
    <row r="408" spans="1:2" x14ac:dyDescent="0.3">
      <c r="B408" t="s">
        <v>72</v>
      </c>
    </row>
    <row r="409" spans="1:2" x14ac:dyDescent="0.3">
      <c r="A409" t="s">
        <v>617</v>
      </c>
      <c r="B409" t="s">
        <v>72</v>
      </c>
    </row>
    <row r="410" spans="1:2" x14ac:dyDescent="0.3">
      <c r="B410" t="s">
        <v>618</v>
      </c>
    </row>
    <row r="411" spans="1:2" x14ac:dyDescent="0.3">
      <c r="A411" t="s">
        <v>619</v>
      </c>
      <c r="B411" t="s">
        <v>618</v>
      </c>
    </row>
    <row r="412" spans="1:2" x14ac:dyDescent="0.3">
      <c r="A412" t="s">
        <v>620</v>
      </c>
      <c r="B412" t="s">
        <v>618</v>
      </c>
    </row>
    <row r="413" spans="1:2" x14ac:dyDescent="0.3">
      <c r="A413" t="s">
        <v>621</v>
      </c>
      <c r="B413" t="s">
        <v>618</v>
      </c>
    </row>
    <row r="414" spans="1:2" x14ac:dyDescent="0.3">
      <c r="A414" t="s">
        <v>113</v>
      </c>
      <c r="B414" t="s">
        <v>618</v>
      </c>
    </row>
    <row r="415" spans="1:2" x14ac:dyDescent="0.3">
      <c r="A415" t="s">
        <v>622</v>
      </c>
      <c r="B415" t="s">
        <v>618</v>
      </c>
    </row>
    <row r="416" spans="1:2" x14ac:dyDescent="0.3">
      <c r="A416" t="s">
        <v>623</v>
      </c>
      <c r="B416" t="s">
        <v>251</v>
      </c>
    </row>
    <row r="417" spans="1:2" x14ac:dyDescent="0.3">
      <c r="B417" t="s">
        <v>251</v>
      </c>
    </row>
    <row r="418" spans="1:2" x14ac:dyDescent="0.3">
      <c r="A418" t="s">
        <v>624</v>
      </c>
      <c r="B418" t="s">
        <v>251</v>
      </c>
    </row>
    <row r="419" spans="1:2" x14ac:dyDescent="0.3">
      <c r="A419" t="s">
        <v>625</v>
      </c>
      <c r="B419" t="s">
        <v>251</v>
      </c>
    </row>
    <row r="420" spans="1:2" x14ac:dyDescent="0.3">
      <c r="A420" t="s">
        <v>112</v>
      </c>
      <c r="B420" t="s">
        <v>251</v>
      </c>
    </row>
    <row r="421" spans="1:2" x14ac:dyDescent="0.3">
      <c r="B421" t="s">
        <v>251</v>
      </c>
    </row>
    <row r="422" spans="1:2" x14ac:dyDescent="0.3">
      <c r="B422" t="s">
        <v>251</v>
      </c>
    </row>
    <row r="423" spans="1:2" x14ac:dyDescent="0.3">
      <c r="A423" t="s">
        <v>626</v>
      </c>
      <c r="B423" t="s">
        <v>251</v>
      </c>
    </row>
    <row r="424" spans="1:2" x14ac:dyDescent="0.3">
      <c r="B424" t="s">
        <v>251</v>
      </c>
    </row>
    <row r="425" spans="1:2" x14ac:dyDescent="0.3">
      <c r="B425" t="s">
        <v>251</v>
      </c>
    </row>
    <row r="426" spans="1:2" x14ac:dyDescent="0.3">
      <c r="B426" t="s">
        <v>251</v>
      </c>
    </row>
    <row r="427" spans="1:2" x14ac:dyDescent="0.3">
      <c r="A427" t="s">
        <v>627</v>
      </c>
      <c r="B427" t="s">
        <v>251</v>
      </c>
    </row>
    <row r="428" spans="1:2" x14ac:dyDescent="0.3">
      <c r="A428" t="s">
        <v>628</v>
      </c>
      <c r="B428" t="s">
        <v>251</v>
      </c>
    </row>
    <row r="429" spans="1:2" x14ac:dyDescent="0.3">
      <c r="A429" t="s">
        <v>629</v>
      </c>
      <c r="B429" t="s">
        <v>251</v>
      </c>
    </row>
    <row r="430" spans="1:2" x14ac:dyDescent="0.3">
      <c r="A430" t="s">
        <v>630</v>
      </c>
      <c r="B430" t="s">
        <v>251</v>
      </c>
    </row>
    <row r="431" spans="1:2" x14ac:dyDescent="0.3">
      <c r="A431" t="s">
        <v>631</v>
      </c>
      <c r="B431" t="s">
        <v>251</v>
      </c>
    </row>
    <row r="432" spans="1:2" x14ac:dyDescent="0.3">
      <c r="A432" t="s">
        <v>632</v>
      </c>
      <c r="B432" t="s">
        <v>251</v>
      </c>
    </row>
    <row r="433" spans="1:2" x14ac:dyDescent="0.3">
      <c r="B433" t="s">
        <v>251</v>
      </c>
    </row>
    <row r="434" spans="1:2" x14ac:dyDescent="0.3">
      <c r="A434" t="s">
        <v>633</v>
      </c>
      <c r="B434" t="s">
        <v>251</v>
      </c>
    </row>
    <row r="435" spans="1:2" x14ac:dyDescent="0.3">
      <c r="B435" t="s">
        <v>251</v>
      </c>
    </row>
    <row r="436" spans="1:2" x14ac:dyDescent="0.3">
      <c r="A436" t="s">
        <v>634</v>
      </c>
      <c r="B436" t="s">
        <v>251</v>
      </c>
    </row>
    <row r="437" spans="1:2" x14ac:dyDescent="0.3">
      <c r="A437" t="s">
        <v>635</v>
      </c>
      <c r="B437" t="s">
        <v>251</v>
      </c>
    </row>
    <row r="438" spans="1:2" x14ac:dyDescent="0.3">
      <c r="A438" t="s">
        <v>636</v>
      </c>
      <c r="B438" t="s">
        <v>251</v>
      </c>
    </row>
    <row r="439" spans="1:2" x14ac:dyDescent="0.3">
      <c r="B439" t="s">
        <v>251</v>
      </c>
    </row>
    <row r="440" spans="1:2" x14ac:dyDescent="0.3">
      <c r="A440" t="s">
        <v>637</v>
      </c>
      <c r="B440" t="s">
        <v>251</v>
      </c>
    </row>
    <row r="441" spans="1:2" x14ac:dyDescent="0.3">
      <c r="A441" t="s">
        <v>638</v>
      </c>
      <c r="B441" t="s">
        <v>251</v>
      </c>
    </row>
    <row r="442" spans="1:2" x14ac:dyDescent="0.3">
      <c r="B442" t="s">
        <v>251</v>
      </c>
    </row>
    <row r="443" spans="1:2" x14ac:dyDescent="0.3">
      <c r="A443" t="s">
        <v>639</v>
      </c>
      <c r="B443" t="s">
        <v>251</v>
      </c>
    </row>
    <row r="444" spans="1:2" x14ac:dyDescent="0.3">
      <c r="B444" t="s">
        <v>251</v>
      </c>
    </row>
    <row r="445" spans="1:2" x14ac:dyDescent="0.3">
      <c r="A445" t="s">
        <v>640</v>
      </c>
      <c r="B445" t="s">
        <v>251</v>
      </c>
    </row>
    <row r="446" spans="1:2" x14ac:dyDescent="0.3">
      <c r="B446" t="s">
        <v>251</v>
      </c>
    </row>
    <row r="447" spans="1:2" x14ac:dyDescent="0.3">
      <c r="A447" t="s">
        <v>641</v>
      </c>
      <c r="B447" t="s">
        <v>251</v>
      </c>
    </row>
    <row r="448" spans="1:2" x14ac:dyDescent="0.3">
      <c r="B448" t="s">
        <v>251</v>
      </c>
    </row>
    <row r="449" spans="1:2" x14ac:dyDescent="0.3">
      <c r="B449" t="s">
        <v>251</v>
      </c>
    </row>
    <row r="450" spans="1:2" x14ac:dyDescent="0.3">
      <c r="B450" t="s">
        <v>251</v>
      </c>
    </row>
    <row r="451" spans="1:2" x14ac:dyDescent="0.3">
      <c r="B451" t="s">
        <v>251</v>
      </c>
    </row>
    <row r="452" spans="1:2" x14ac:dyDescent="0.3">
      <c r="A452" t="s">
        <v>642</v>
      </c>
      <c r="B452" t="s">
        <v>251</v>
      </c>
    </row>
    <row r="453" spans="1:2" x14ac:dyDescent="0.3">
      <c r="B453" t="s">
        <v>251</v>
      </c>
    </row>
    <row r="454" spans="1:2" x14ac:dyDescent="0.3">
      <c r="A454" t="s">
        <v>643</v>
      </c>
      <c r="B454" t="s">
        <v>251</v>
      </c>
    </row>
    <row r="455" spans="1:2" x14ac:dyDescent="0.3">
      <c r="B455" t="s">
        <v>251</v>
      </c>
    </row>
    <row r="456" spans="1:2" x14ac:dyDescent="0.3">
      <c r="A456" t="s">
        <v>644</v>
      </c>
      <c r="B456" t="s">
        <v>251</v>
      </c>
    </row>
    <row r="457" spans="1:2" x14ac:dyDescent="0.3">
      <c r="A457" t="s">
        <v>645</v>
      </c>
      <c r="B457" t="s">
        <v>251</v>
      </c>
    </row>
    <row r="458" spans="1:2" x14ac:dyDescent="0.3">
      <c r="B458" t="s">
        <v>251</v>
      </c>
    </row>
    <row r="459" spans="1:2" x14ac:dyDescent="0.3">
      <c r="A459" t="s">
        <v>646</v>
      </c>
      <c r="B459" t="s">
        <v>251</v>
      </c>
    </row>
    <row r="460" spans="1:2" x14ac:dyDescent="0.3">
      <c r="A460" t="s">
        <v>647</v>
      </c>
      <c r="B460" t="s">
        <v>251</v>
      </c>
    </row>
    <row r="461" spans="1:2" x14ac:dyDescent="0.3">
      <c r="A461" t="s">
        <v>648</v>
      </c>
      <c r="B461" t="s">
        <v>251</v>
      </c>
    </row>
    <row r="462" spans="1:2" x14ac:dyDescent="0.3">
      <c r="A462" t="s">
        <v>649</v>
      </c>
      <c r="B462" t="s">
        <v>251</v>
      </c>
    </row>
    <row r="463" spans="1:2" x14ac:dyDescent="0.3">
      <c r="B463" t="s">
        <v>251</v>
      </c>
    </row>
    <row r="464" spans="1:2" x14ac:dyDescent="0.3">
      <c r="A464" t="s">
        <v>650</v>
      </c>
      <c r="B464" t="s">
        <v>97</v>
      </c>
    </row>
    <row r="465" spans="1:2" x14ac:dyDescent="0.3">
      <c r="A465" t="s">
        <v>651</v>
      </c>
      <c r="B465" t="s">
        <v>97</v>
      </c>
    </row>
    <row r="466" spans="1:2" x14ac:dyDescent="0.3">
      <c r="A466" t="s">
        <v>652</v>
      </c>
      <c r="B466" t="s">
        <v>97</v>
      </c>
    </row>
    <row r="467" spans="1:2" x14ac:dyDescent="0.3">
      <c r="A467" t="s">
        <v>653</v>
      </c>
      <c r="B467" t="s">
        <v>97</v>
      </c>
    </row>
    <row r="468" spans="1:2" x14ac:dyDescent="0.3">
      <c r="A468" t="s">
        <v>654</v>
      </c>
      <c r="B468" t="s">
        <v>97</v>
      </c>
    </row>
    <row r="469" spans="1:2" x14ac:dyDescent="0.3">
      <c r="A469" t="s">
        <v>655</v>
      </c>
      <c r="B469" t="s">
        <v>97</v>
      </c>
    </row>
    <row r="470" spans="1:2" x14ac:dyDescent="0.3">
      <c r="B470" t="s">
        <v>97</v>
      </c>
    </row>
    <row r="471" spans="1:2" x14ac:dyDescent="0.3">
      <c r="A471" t="s">
        <v>656</v>
      </c>
      <c r="B471" t="s">
        <v>97</v>
      </c>
    </row>
    <row r="472" spans="1:2" x14ac:dyDescent="0.3">
      <c r="B472" t="s">
        <v>97</v>
      </c>
    </row>
    <row r="473" spans="1:2" x14ac:dyDescent="0.3">
      <c r="B473" t="s">
        <v>97</v>
      </c>
    </row>
    <row r="474" spans="1:2" x14ac:dyDescent="0.3">
      <c r="B474" t="s">
        <v>97</v>
      </c>
    </row>
    <row r="475" spans="1:2" x14ac:dyDescent="0.3">
      <c r="B475" t="s">
        <v>97</v>
      </c>
    </row>
    <row r="476" spans="1:2" x14ac:dyDescent="0.3">
      <c r="A476" t="s">
        <v>657</v>
      </c>
      <c r="B476" t="s">
        <v>97</v>
      </c>
    </row>
    <row r="477" spans="1:2" x14ac:dyDescent="0.3">
      <c r="B477" t="s">
        <v>97</v>
      </c>
    </row>
    <row r="478" spans="1:2" x14ac:dyDescent="0.3">
      <c r="B478" t="s">
        <v>97</v>
      </c>
    </row>
    <row r="479" spans="1:2" x14ac:dyDescent="0.3">
      <c r="A479" t="s">
        <v>658</v>
      </c>
      <c r="B479" t="s">
        <v>97</v>
      </c>
    </row>
    <row r="480" spans="1:2" x14ac:dyDescent="0.3">
      <c r="A480" t="s">
        <v>659</v>
      </c>
      <c r="B480" t="s">
        <v>97</v>
      </c>
    </row>
    <row r="481" spans="1:2" x14ac:dyDescent="0.3">
      <c r="B481" t="s">
        <v>97</v>
      </c>
    </row>
    <row r="482" spans="1:2" x14ac:dyDescent="0.3">
      <c r="B482" t="s">
        <v>97</v>
      </c>
    </row>
    <row r="483" spans="1:2" x14ac:dyDescent="0.3">
      <c r="B483" t="s">
        <v>97</v>
      </c>
    </row>
    <row r="484" spans="1:2" x14ac:dyDescent="0.3">
      <c r="A484" t="s">
        <v>660</v>
      </c>
      <c r="B484" t="s">
        <v>97</v>
      </c>
    </row>
    <row r="485" spans="1:2" x14ac:dyDescent="0.3">
      <c r="B485" t="s">
        <v>97</v>
      </c>
    </row>
    <row r="486" spans="1:2" x14ac:dyDescent="0.3">
      <c r="A486" t="s">
        <v>661</v>
      </c>
      <c r="B486" t="s">
        <v>97</v>
      </c>
    </row>
    <row r="487" spans="1:2" x14ac:dyDescent="0.3">
      <c r="A487" t="s">
        <v>662</v>
      </c>
      <c r="B487" t="s">
        <v>97</v>
      </c>
    </row>
    <row r="488" spans="1:2" x14ac:dyDescent="0.3">
      <c r="A488" t="s">
        <v>663</v>
      </c>
      <c r="B488" t="s">
        <v>97</v>
      </c>
    </row>
    <row r="489" spans="1:2" x14ac:dyDescent="0.3">
      <c r="A489" t="s">
        <v>664</v>
      </c>
      <c r="B489" t="s">
        <v>97</v>
      </c>
    </row>
    <row r="490" spans="1:2" x14ac:dyDescent="0.3">
      <c r="A490" t="s">
        <v>665</v>
      </c>
      <c r="B490" t="s">
        <v>97</v>
      </c>
    </row>
    <row r="491" spans="1:2" x14ac:dyDescent="0.3">
      <c r="A491" t="s">
        <v>666</v>
      </c>
      <c r="B491" t="s">
        <v>97</v>
      </c>
    </row>
    <row r="492" spans="1:2" x14ac:dyDescent="0.3">
      <c r="A492" t="s">
        <v>667</v>
      </c>
      <c r="B492" t="s">
        <v>97</v>
      </c>
    </row>
    <row r="493" spans="1:2" x14ac:dyDescent="0.3">
      <c r="A493" t="s">
        <v>668</v>
      </c>
      <c r="B493" t="s">
        <v>97</v>
      </c>
    </row>
    <row r="494" spans="1:2" x14ac:dyDescent="0.3">
      <c r="A494" t="s">
        <v>669</v>
      </c>
      <c r="B494" t="s">
        <v>97</v>
      </c>
    </row>
    <row r="495" spans="1:2" x14ac:dyDescent="0.3">
      <c r="A495" t="s">
        <v>670</v>
      </c>
      <c r="B495" t="s">
        <v>671</v>
      </c>
    </row>
    <row r="496" spans="1:2" x14ac:dyDescent="0.3">
      <c r="A496" t="s">
        <v>672</v>
      </c>
      <c r="B496" t="s">
        <v>671</v>
      </c>
    </row>
    <row r="497" spans="1:2" x14ac:dyDescent="0.3">
      <c r="A497" t="s">
        <v>673</v>
      </c>
      <c r="B497" t="s">
        <v>674</v>
      </c>
    </row>
    <row r="498" spans="1:2" x14ac:dyDescent="0.3">
      <c r="A498" t="s">
        <v>675</v>
      </c>
      <c r="B498" t="s">
        <v>97</v>
      </c>
    </row>
    <row r="499" spans="1:2" x14ac:dyDescent="0.3">
      <c r="A499" t="s">
        <v>676</v>
      </c>
      <c r="B499" t="s">
        <v>97</v>
      </c>
    </row>
    <row r="500" spans="1:2" x14ac:dyDescent="0.3">
      <c r="A500" t="s">
        <v>98</v>
      </c>
      <c r="B500" t="s">
        <v>97</v>
      </c>
    </row>
    <row r="501" spans="1:2" x14ac:dyDescent="0.3">
      <c r="A501" t="s">
        <v>677</v>
      </c>
      <c r="B501" t="s">
        <v>97</v>
      </c>
    </row>
    <row r="502" spans="1:2" x14ac:dyDescent="0.3">
      <c r="A502" t="s">
        <v>678</v>
      </c>
      <c r="B502" t="s">
        <v>97</v>
      </c>
    </row>
    <row r="503" spans="1:2" x14ac:dyDescent="0.3">
      <c r="B503" t="s">
        <v>97</v>
      </c>
    </row>
    <row r="504" spans="1:2" x14ac:dyDescent="0.3">
      <c r="A504" t="s">
        <v>679</v>
      </c>
      <c r="B504" t="s">
        <v>97</v>
      </c>
    </row>
    <row r="505" spans="1:2" x14ac:dyDescent="0.3">
      <c r="A505" t="s">
        <v>95</v>
      </c>
      <c r="B505" t="s">
        <v>97</v>
      </c>
    </row>
    <row r="506" spans="1:2" x14ac:dyDescent="0.3">
      <c r="A506" t="s">
        <v>259</v>
      </c>
      <c r="B506" t="s">
        <v>97</v>
      </c>
    </row>
    <row r="507" spans="1:2" x14ac:dyDescent="0.3">
      <c r="A507" t="s">
        <v>680</v>
      </c>
      <c r="B507" t="s">
        <v>97</v>
      </c>
    </row>
    <row r="508" spans="1:2" x14ac:dyDescent="0.3">
      <c r="A508" t="s">
        <v>681</v>
      </c>
      <c r="B508" t="s">
        <v>97</v>
      </c>
    </row>
    <row r="509" spans="1:2" x14ac:dyDescent="0.3">
      <c r="B509" t="s">
        <v>97</v>
      </c>
    </row>
    <row r="510" spans="1:2" x14ac:dyDescent="0.3">
      <c r="A510" t="s">
        <v>682</v>
      </c>
      <c r="B510" t="s">
        <v>97</v>
      </c>
    </row>
    <row r="511" spans="1:2" x14ac:dyDescent="0.3">
      <c r="B511" t="s">
        <v>97</v>
      </c>
    </row>
    <row r="512" spans="1:2" x14ac:dyDescent="0.3">
      <c r="A512" t="s">
        <v>683</v>
      </c>
      <c r="B512" t="s">
        <v>97</v>
      </c>
    </row>
    <row r="513" spans="1:2" x14ac:dyDescent="0.3">
      <c r="A513" t="s">
        <v>684</v>
      </c>
      <c r="B513" t="s">
        <v>97</v>
      </c>
    </row>
    <row r="514" spans="1:2" x14ac:dyDescent="0.3">
      <c r="A514" t="s">
        <v>685</v>
      </c>
      <c r="B514" t="s">
        <v>97</v>
      </c>
    </row>
    <row r="515" spans="1:2" x14ac:dyDescent="0.3">
      <c r="A515" t="s">
        <v>686</v>
      </c>
      <c r="B515" t="s">
        <v>97</v>
      </c>
    </row>
    <row r="516" spans="1:2" x14ac:dyDescent="0.3">
      <c r="B516" t="s">
        <v>97</v>
      </c>
    </row>
    <row r="517" spans="1:2" x14ac:dyDescent="0.3">
      <c r="A517" t="s">
        <v>687</v>
      </c>
      <c r="B517" t="s">
        <v>97</v>
      </c>
    </row>
    <row r="518" spans="1:2" x14ac:dyDescent="0.3">
      <c r="A518" t="s">
        <v>688</v>
      </c>
      <c r="B518" t="s">
        <v>689</v>
      </c>
    </row>
    <row r="519" spans="1:2" x14ac:dyDescent="0.3">
      <c r="A519" t="s">
        <v>690</v>
      </c>
      <c r="B519" t="s">
        <v>97</v>
      </c>
    </row>
    <row r="520" spans="1:2" x14ac:dyDescent="0.3">
      <c r="A520" t="s">
        <v>691</v>
      </c>
      <c r="B520" t="s">
        <v>97</v>
      </c>
    </row>
    <row r="521" spans="1:2" x14ac:dyDescent="0.3">
      <c r="A521" t="s">
        <v>692</v>
      </c>
      <c r="B521" t="s">
        <v>97</v>
      </c>
    </row>
    <row r="522" spans="1:2" x14ac:dyDescent="0.3">
      <c r="B522" t="s">
        <v>97</v>
      </c>
    </row>
    <row r="523" spans="1:2" x14ac:dyDescent="0.3">
      <c r="B523" t="s">
        <v>97</v>
      </c>
    </row>
    <row r="524" spans="1:2" x14ac:dyDescent="0.3">
      <c r="B524" t="s">
        <v>97</v>
      </c>
    </row>
    <row r="525" spans="1:2" x14ac:dyDescent="0.3">
      <c r="B525" t="s">
        <v>97</v>
      </c>
    </row>
    <row r="526" spans="1:2" x14ac:dyDescent="0.3">
      <c r="A526" t="s">
        <v>693</v>
      </c>
      <c r="B526" t="s">
        <v>97</v>
      </c>
    </row>
    <row r="527" spans="1:2" x14ac:dyDescent="0.3">
      <c r="A527" t="s">
        <v>694</v>
      </c>
      <c r="B527" t="s">
        <v>97</v>
      </c>
    </row>
    <row r="528" spans="1:2" x14ac:dyDescent="0.3">
      <c r="A528" t="s">
        <v>695</v>
      </c>
      <c r="B528" t="s">
        <v>97</v>
      </c>
    </row>
    <row r="529" spans="1:2" x14ac:dyDescent="0.3">
      <c r="A529" t="s">
        <v>696</v>
      </c>
      <c r="B529" t="s">
        <v>97</v>
      </c>
    </row>
    <row r="530" spans="1:2" x14ac:dyDescent="0.3">
      <c r="A530" t="s">
        <v>697</v>
      </c>
      <c r="B530" t="s">
        <v>97</v>
      </c>
    </row>
    <row r="531" spans="1:2" x14ac:dyDescent="0.3">
      <c r="A531" t="s">
        <v>698</v>
      </c>
      <c r="B531" t="s">
        <v>97</v>
      </c>
    </row>
    <row r="532" spans="1:2" x14ac:dyDescent="0.3">
      <c r="A532" t="s">
        <v>699</v>
      </c>
      <c r="B532" t="s">
        <v>97</v>
      </c>
    </row>
    <row r="533" spans="1:2" x14ac:dyDescent="0.3">
      <c r="A533" t="s">
        <v>700</v>
      </c>
      <c r="B533" t="s">
        <v>97</v>
      </c>
    </row>
    <row r="534" spans="1:2" x14ac:dyDescent="0.3">
      <c r="A534" t="s">
        <v>701</v>
      </c>
      <c r="B534" t="s">
        <v>97</v>
      </c>
    </row>
    <row r="535" spans="1:2" x14ac:dyDescent="0.3">
      <c r="A535" t="s">
        <v>702</v>
      </c>
      <c r="B535" t="s">
        <v>97</v>
      </c>
    </row>
    <row r="536" spans="1:2" x14ac:dyDescent="0.3">
      <c r="A536" t="s">
        <v>703</v>
      </c>
      <c r="B536" t="s">
        <v>97</v>
      </c>
    </row>
    <row r="537" spans="1:2" x14ac:dyDescent="0.3">
      <c r="A537" t="s">
        <v>704</v>
      </c>
      <c r="B537" t="s">
        <v>97</v>
      </c>
    </row>
    <row r="538" spans="1:2" x14ac:dyDescent="0.3">
      <c r="A538" t="s">
        <v>705</v>
      </c>
      <c r="B538" t="s">
        <v>97</v>
      </c>
    </row>
    <row r="539" spans="1:2" x14ac:dyDescent="0.3">
      <c r="A539" t="s">
        <v>706</v>
      </c>
      <c r="B539" t="s">
        <v>97</v>
      </c>
    </row>
    <row r="540" spans="1:2" x14ac:dyDescent="0.3">
      <c r="A540" t="s">
        <v>707</v>
      </c>
      <c r="B540" t="s">
        <v>97</v>
      </c>
    </row>
    <row r="541" spans="1:2" x14ac:dyDescent="0.3">
      <c r="A541" t="s">
        <v>708</v>
      </c>
      <c r="B541" t="s">
        <v>97</v>
      </c>
    </row>
    <row r="542" spans="1:2" x14ac:dyDescent="0.3">
      <c r="A542" t="s">
        <v>709</v>
      </c>
      <c r="B542" t="s">
        <v>97</v>
      </c>
    </row>
    <row r="543" spans="1:2" x14ac:dyDescent="0.3">
      <c r="B543" t="s">
        <v>97</v>
      </c>
    </row>
    <row r="544" spans="1:2" x14ac:dyDescent="0.3">
      <c r="A544" t="s">
        <v>710</v>
      </c>
      <c r="B544" t="s">
        <v>97</v>
      </c>
    </row>
    <row r="545" spans="1:2" x14ac:dyDescent="0.3">
      <c r="A545" t="s">
        <v>711</v>
      </c>
      <c r="B545" t="s">
        <v>97</v>
      </c>
    </row>
    <row r="546" spans="1:2" x14ac:dyDescent="0.3">
      <c r="B546" t="s">
        <v>97</v>
      </c>
    </row>
    <row r="547" spans="1:2" x14ac:dyDescent="0.3">
      <c r="B547" t="s">
        <v>97</v>
      </c>
    </row>
    <row r="548" spans="1:2" x14ac:dyDescent="0.3">
      <c r="B548" t="s">
        <v>97</v>
      </c>
    </row>
    <row r="549" spans="1:2" x14ac:dyDescent="0.3">
      <c r="A549" t="s">
        <v>712</v>
      </c>
      <c r="B549" t="s">
        <v>97</v>
      </c>
    </row>
    <row r="550" spans="1:2" x14ac:dyDescent="0.3">
      <c r="A550" t="s">
        <v>713</v>
      </c>
      <c r="B550" t="s">
        <v>97</v>
      </c>
    </row>
    <row r="551" spans="1:2" x14ac:dyDescent="0.3">
      <c r="A551" t="s">
        <v>714</v>
      </c>
      <c r="B551" t="s">
        <v>97</v>
      </c>
    </row>
    <row r="552" spans="1:2" x14ac:dyDescent="0.3">
      <c r="B552" t="s">
        <v>97</v>
      </c>
    </row>
    <row r="553" spans="1:2" x14ac:dyDescent="0.3">
      <c r="B553" t="s">
        <v>97</v>
      </c>
    </row>
    <row r="554" spans="1:2" x14ac:dyDescent="0.3">
      <c r="A554" t="s">
        <v>715</v>
      </c>
      <c r="B554" t="s">
        <v>97</v>
      </c>
    </row>
    <row r="555" spans="1:2" x14ac:dyDescent="0.3">
      <c r="B555" t="s">
        <v>97</v>
      </c>
    </row>
    <row r="556" spans="1:2" x14ac:dyDescent="0.3">
      <c r="B556" t="s">
        <v>97</v>
      </c>
    </row>
    <row r="557" spans="1:2" x14ac:dyDescent="0.3">
      <c r="A557" t="s">
        <v>716</v>
      </c>
      <c r="B557" t="s">
        <v>97</v>
      </c>
    </row>
    <row r="558" spans="1:2" x14ac:dyDescent="0.3">
      <c r="A558" t="s">
        <v>717</v>
      </c>
      <c r="B558" t="s">
        <v>97</v>
      </c>
    </row>
    <row r="559" spans="1:2" x14ac:dyDescent="0.3">
      <c r="A559" t="s">
        <v>718</v>
      </c>
      <c r="B559" t="s">
        <v>97</v>
      </c>
    </row>
    <row r="560" spans="1:2" x14ac:dyDescent="0.3">
      <c r="B560" t="s">
        <v>97</v>
      </c>
    </row>
    <row r="561" spans="1:2" x14ac:dyDescent="0.3">
      <c r="A561" t="s">
        <v>719</v>
      </c>
      <c r="B561" t="s">
        <v>97</v>
      </c>
    </row>
    <row r="562" spans="1:2" x14ac:dyDescent="0.3">
      <c r="A562" t="s">
        <v>720</v>
      </c>
      <c r="B562" t="s">
        <v>97</v>
      </c>
    </row>
    <row r="563" spans="1:2" x14ac:dyDescent="0.3">
      <c r="B563" t="s">
        <v>97</v>
      </c>
    </row>
    <row r="564" spans="1:2" x14ac:dyDescent="0.3">
      <c r="B564" t="s">
        <v>97</v>
      </c>
    </row>
    <row r="565" spans="1:2" x14ac:dyDescent="0.3">
      <c r="B565" t="s">
        <v>97</v>
      </c>
    </row>
    <row r="566" spans="1:2" x14ac:dyDescent="0.3">
      <c r="A566" t="s">
        <v>721</v>
      </c>
      <c r="B566" t="s">
        <v>97</v>
      </c>
    </row>
    <row r="567" spans="1:2" x14ac:dyDescent="0.3">
      <c r="B567" t="s">
        <v>97</v>
      </c>
    </row>
    <row r="568" spans="1:2" x14ac:dyDescent="0.3">
      <c r="B568" t="s">
        <v>97</v>
      </c>
    </row>
    <row r="569" spans="1:2" x14ac:dyDescent="0.3">
      <c r="B569" t="s">
        <v>97</v>
      </c>
    </row>
    <row r="570" spans="1:2" x14ac:dyDescent="0.3">
      <c r="B570" t="s">
        <v>97</v>
      </c>
    </row>
    <row r="571" spans="1:2" x14ac:dyDescent="0.3">
      <c r="A571" t="s">
        <v>722</v>
      </c>
      <c r="B571" t="s">
        <v>97</v>
      </c>
    </row>
    <row r="572" spans="1:2" x14ac:dyDescent="0.3">
      <c r="B572" t="s">
        <v>97</v>
      </c>
    </row>
    <row r="573" spans="1:2" x14ac:dyDescent="0.3">
      <c r="B573" t="s">
        <v>97</v>
      </c>
    </row>
    <row r="574" spans="1:2" x14ac:dyDescent="0.3">
      <c r="B574" t="s">
        <v>97</v>
      </c>
    </row>
    <row r="575" spans="1:2" x14ac:dyDescent="0.3">
      <c r="A575" t="s">
        <v>723</v>
      </c>
      <c r="B575" t="s">
        <v>97</v>
      </c>
    </row>
    <row r="576" spans="1:2" x14ac:dyDescent="0.3">
      <c r="A576" t="s">
        <v>724</v>
      </c>
      <c r="B576" t="s">
        <v>725</v>
      </c>
    </row>
    <row r="577" spans="1:2" x14ac:dyDescent="0.3">
      <c r="A577" t="s">
        <v>101</v>
      </c>
      <c r="B577" t="s">
        <v>102</v>
      </c>
    </row>
    <row r="578" spans="1:2" x14ac:dyDescent="0.3">
      <c r="B578" t="s">
        <v>102</v>
      </c>
    </row>
    <row r="579" spans="1:2" x14ac:dyDescent="0.3">
      <c r="A579" t="s">
        <v>726</v>
      </c>
      <c r="B579" t="s">
        <v>102</v>
      </c>
    </row>
    <row r="580" spans="1:2" x14ac:dyDescent="0.3">
      <c r="B580" t="s">
        <v>102</v>
      </c>
    </row>
    <row r="581" spans="1:2" x14ac:dyDescent="0.3">
      <c r="B581" t="s">
        <v>102</v>
      </c>
    </row>
    <row r="582" spans="1:2" x14ac:dyDescent="0.3">
      <c r="A582" t="s">
        <v>727</v>
      </c>
      <c r="B582" t="s">
        <v>102</v>
      </c>
    </row>
    <row r="583" spans="1:2" x14ac:dyDescent="0.3">
      <c r="A583" t="s">
        <v>728</v>
      </c>
      <c r="B583" t="s">
        <v>102</v>
      </c>
    </row>
    <row r="584" spans="1:2" x14ac:dyDescent="0.3">
      <c r="B584" t="s">
        <v>102</v>
      </c>
    </row>
    <row r="585" spans="1:2" x14ac:dyDescent="0.3">
      <c r="A585" t="s">
        <v>729</v>
      </c>
      <c r="B585" t="s">
        <v>102</v>
      </c>
    </row>
    <row r="586" spans="1:2" x14ac:dyDescent="0.3">
      <c r="B586" t="s">
        <v>102</v>
      </c>
    </row>
    <row r="587" spans="1:2" x14ac:dyDescent="0.3">
      <c r="A587" t="s">
        <v>730</v>
      </c>
      <c r="B587" t="s">
        <v>102</v>
      </c>
    </row>
    <row r="588" spans="1:2" x14ac:dyDescent="0.3">
      <c r="A588" t="s">
        <v>731</v>
      </c>
      <c r="B588" t="s">
        <v>102</v>
      </c>
    </row>
    <row r="589" spans="1:2" x14ac:dyDescent="0.3">
      <c r="A589" t="s">
        <v>732</v>
      </c>
      <c r="B589" t="s">
        <v>102</v>
      </c>
    </row>
    <row r="590" spans="1:2" x14ac:dyDescent="0.3">
      <c r="A590" t="s">
        <v>733</v>
      </c>
      <c r="B590" t="s">
        <v>102</v>
      </c>
    </row>
    <row r="591" spans="1:2" x14ac:dyDescent="0.3">
      <c r="A591" t="s">
        <v>734</v>
      </c>
      <c r="B591" t="s">
        <v>102</v>
      </c>
    </row>
    <row r="592" spans="1:2" x14ac:dyDescent="0.3">
      <c r="A592" t="s">
        <v>735</v>
      </c>
      <c r="B592" t="s">
        <v>102</v>
      </c>
    </row>
    <row r="593" spans="1:2" x14ac:dyDescent="0.3">
      <c r="A593" t="s">
        <v>736</v>
      </c>
      <c r="B593" t="s">
        <v>216</v>
      </c>
    </row>
    <row r="594" spans="1:2" x14ac:dyDescent="0.3">
      <c r="A594" t="s">
        <v>737</v>
      </c>
      <c r="B594" t="s">
        <v>216</v>
      </c>
    </row>
    <row r="595" spans="1:2" x14ac:dyDescent="0.3">
      <c r="A595" t="s">
        <v>145</v>
      </c>
      <c r="B595" t="s">
        <v>216</v>
      </c>
    </row>
    <row r="596" spans="1:2" x14ac:dyDescent="0.3">
      <c r="A596" t="s">
        <v>738</v>
      </c>
      <c r="B596" t="s">
        <v>216</v>
      </c>
    </row>
    <row r="597" spans="1:2" x14ac:dyDescent="0.3">
      <c r="A597" t="s">
        <v>739</v>
      </c>
      <c r="B597" t="s">
        <v>216</v>
      </c>
    </row>
    <row r="598" spans="1:2" x14ac:dyDescent="0.3">
      <c r="B598" t="s">
        <v>216</v>
      </c>
    </row>
    <row r="599" spans="1:2" x14ac:dyDescent="0.3">
      <c r="A599" t="s">
        <v>740</v>
      </c>
      <c r="B599" t="s">
        <v>216</v>
      </c>
    </row>
    <row r="600" spans="1:2" x14ac:dyDescent="0.3">
      <c r="A600" t="s">
        <v>741</v>
      </c>
      <c r="B600" t="s">
        <v>216</v>
      </c>
    </row>
    <row r="601" spans="1:2" x14ac:dyDescent="0.3">
      <c r="A601" t="s">
        <v>742</v>
      </c>
      <c r="B601" t="s">
        <v>216</v>
      </c>
    </row>
    <row r="602" spans="1:2" x14ac:dyDescent="0.3">
      <c r="A602" t="s">
        <v>743</v>
      </c>
      <c r="B602" t="s">
        <v>163</v>
      </c>
    </row>
    <row r="603" spans="1:2" x14ac:dyDescent="0.3">
      <c r="A603" t="s">
        <v>744</v>
      </c>
      <c r="B603" t="s">
        <v>163</v>
      </c>
    </row>
    <row r="604" spans="1:2" x14ac:dyDescent="0.3">
      <c r="A604" t="s">
        <v>153</v>
      </c>
      <c r="B604" t="s">
        <v>163</v>
      </c>
    </row>
    <row r="605" spans="1:2" x14ac:dyDescent="0.3">
      <c r="A605" t="s">
        <v>745</v>
      </c>
      <c r="B605" t="s">
        <v>163</v>
      </c>
    </row>
    <row r="606" spans="1:2" x14ac:dyDescent="0.3">
      <c r="B606" t="s">
        <v>163</v>
      </c>
    </row>
    <row r="607" spans="1:2" x14ac:dyDescent="0.3">
      <c r="A607" t="s">
        <v>746</v>
      </c>
      <c r="B607" t="s">
        <v>163</v>
      </c>
    </row>
    <row r="608" spans="1:2" x14ac:dyDescent="0.3">
      <c r="B608" t="s">
        <v>163</v>
      </c>
    </row>
    <row r="609" spans="1:2" x14ac:dyDescent="0.3">
      <c r="B609" t="s">
        <v>163</v>
      </c>
    </row>
    <row r="610" spans="1:2" x14ac:dyDescent="0.3">
      <c r="A610" t="s">
        <v>747</v>
      </c>
      <c r="B610" t="s">
        <v>163</v>
      </c>
    </row>
    <row r="611" spans="1:2" x14ac:dyDescent="0.3">
      <c r="B611" t="s">
        <v>163</v>
      </c>
    </row>
    <row r="612" spans="1:2" x14ac:dyDescent="0.3">
      <c r="A612" t="s">
        <v>748</v>
      </c>
      <c r="B612" t="s">
        <v>163</v>
      </c>
    </row>
    <row r="613" spans="1:2" x14ac:dyDescent="0.3">
      <c r="A613" t="s">
        <v>749</v>
      </c>
      <c r="B613" t="s">
        <v>163</v>
      </c>
    </row>
    <row r="614" spans="1:2" x14ac:dyDescent="0.3">
      <c r="A614" t="s">
        <v>750</v>
      </c>
      <c r="B614" t="s">
        <v>163</v>
      </c>
    </row>
    <row r="615" spans="1:2" x14ac:dyDescent="0.3">
      <c r="A615" t="s">
        <v>751</v>
      </c>
      <c r="B615" t="s">
        <v>163</v>
      </c>
    </row>
    <row r="616" spans="1:2" x14ac:dyDescent="0.3">
      <c r="B616" t="s">
        <v>163</v>
      </c>
    </row>
    <row r="617" spans="1:2" x14ac:dyDescent="0.3">
      <c r="A617" t="s">
        <v>752</v>
      </c>
      <c r="B617" t="s">
        <v>163</v>
      </c>
    </row>
    <row r="618" spans="1:2" x14ac:dyDescent="0.3">
      <c r="B618" t="s">
        <v>163</v>
      </c>
    </row>
    <row r="619" spans="1:2" x14ac:dyDescent="0.3">
      <c r="A619" t="s">
        <v>753</v>
      </c>
      <c r="B619" t="s">
        <v>754</v>
      </c>
    </row>
    <row r="620" spans="1:2" x14ac:dyDescent="0.3">
      <c r="B620" t="s">
        <v>163</v>
      </c>
    </row>
    <row r="621" spans="1:2" x14ac:dyDescent="0.3">
      <c r="A621" t="s">
        <v>755</v>
      </c>
      <c r="B621" t="s">
        <v>163</v>
      </c>
    </row>
    <row r="622" spans="1:2" x14ac:dyDescent="0.3">
      <c r="A622" t="s">
        <v>756</v>
      </c>
      <c r="B622" t="s">
        <v>163</v>
      </c>
    </row>
    <row r="623" spans="1:2" x14ac:dyDescent="0.3">
      <c r="A623" t="s">
        <v>757</v>
      </c>
      <c r="B623" t="s">
        <v>757</v>
      </c>
    </row>
    <row r="624" spans="1:2" x14ac:dyDescent="0.3">
      <c r="A624" t="s">
        <v>758</v>
      </c>
      <c r="B624" t="s">
        <v>759</v>
      </c>
    </row>
    <row r="625" spans="1:2" x14ac:dyDescent="0.3">
      <c r="A625" t="s">
        <v>760</v>
      </c>
      <c r="B625" t="s">
        <v>759</v>
      </c>
    </row>
    <row r="626" spans="1:2" x14ac:dyDescent="0.3">
      <c r="A626" t="s">
        <v>761</v>
      </c>
      <c r="B626" t="s">
        <v>759</v>
      </c>
    </row>
    <row r="627" spans="1:2" x14ac:dyDescent="0.3">
      <c r="B627" t="s">
        <v>759</v>
      </c>
    </row>
    <row r="628" spans="1:2" x14ac:dyDescent="0.3">
      <c r="A628" t="s">
        <v>762</v>
      </c>
      <c r="B628" t="s">
        <v>759</v>
      </c>
    </row>
    <row r="629" spans="1:2" x14ac:dyDescent="0.3">
      <c r="A629" t="s">
        <v>763</v>
      </c>
      <c r="B629" t="s">
        <v>759</v>
      </c>
    </row>
    <row r="630" spans="1:2" x14ac:dyDescent="0.3">
      <c r="A630" t="s">
        <v>764</v>
      </c>
      <c r="B630" t="s">
        <v>759</v>
      </c>
    </row>
    <row r="631" spans="1:2" x14ac:dyDescent="0.3">
      <c r="A631" t="s">
        <v>765</v>
      </c>
      <c r="B631" t="s">
        <v>759</v>
      </c>
    </row>
    <row r="632" spans="1:2" x14ac:dyDescent="0.3">
      <c r="A632" t="s">
        <v>766</v>
      </c>
      <c r="B632" t="s">
        <v>759</v>
      </c>
    </row>
    <row r="633" spans="1:2" x14ac:dyDescent="0.3">
      <c r="B633" t="s">
        <v>759</v>
      </c>
    </row>
    <row r="634" spans="1:2" x14ac:dyDescent="0.3">
      <c r="A634" t="s">
        <v>767</v>
      </c>
      <c r="B634" t="s">
        <v>759</v>
      </c>
    </row>
    <row r="635" spans="1:2" x14ac:dyDescent="0.3">
      <c r="A635" t="s">
        <v>768</v>
      </c>
      <c r="B635" t="s">
        <v>759</v>
      </c>
    </row>
    <row r="636" spans="1:2" x14ac:dyDescent="0.3">
      <c r="A636" t="s">
        <v>769</v>
      </c>
      <c r="B636" t="s">
        <v>759</v>
      </c>
    </row>
    <row r="637" spans="1:2" x14ac:dyDescent="0.3">
      <c r="A637" t="s">
        <v>754</v>
      </c>
      <c r="B637" t="s">
        <v>759</v>
      </c>
    </row>
    <row r="638" spans="1:2" x14ac:dyDescent="0.3">
      <c r="A638" t="s">
        <v>770</v>
      </c>
      <c r="B638" t="s">
        <v>759</v>
      </c>
    </row>
    <row r="639" spans="1:2" x14ac:dyDescent="0.3">
      <c r="A639" t="s">
        <v>771</v>
      </c>
      <c r="B639" t="s">
        <v>759</v>
      </c>
    </row>
    <row r="640" spans="1:2" x14ac:dyDescent="0.3">
      <c r="A640" t="s">
        <v>772</v>
      </c>
      <c r="B640" t="s">
        <v>759</v>
      </c>
    </row>
    <row r="641" spans="1:2" x14ac:dyDescent="0.3">
      <c r="A641" t="s">
        <v>773</v>
      </c>
      <c r="B641" t="s">
        <v>759</v>
      </c>
    </row>
    <row r="642" spans="1:2" x14ac:dyDescent="0.3">
      <c r="B642" t="s">
        <v>759</v>
      </c>
    </row>
    <row r="643" spans="1:2" x14ac:dyDescent="0.3">
      <c r="A643" t="s">
        <v>774</v>
      </c>
      <c r="B643" t="s">
        <v>759</v>
      </c>
    </row>
    <row r="644" spans="1:2" x14ac:dyDescent="0.3">
      <c r="A644" t="s">
        <v>775</v>
      </c>
      <c r="B644" t="s">
        <v>759</v>
      </c>
    </row>
    <row r="645" spans="1:2" x14ac:dyDescent="0.3">
      <c r="A645" t="s">
        <v>776</v>
      </c>
      <c r="B645" t="s">
        <v>759</v>
      </c>
    </row>
    <row r="646" spans="1:2" x14ac:dyDescent="0.3">
      <c r="A646" t="s">
        <v>777</v>
      </c>
      <c r="B646" t="s">
        <v>759</v>
      </c>
    </row>
    <row r="647" spans="1:2" x14ac:dyDescent="0.3">
      <c r="A647" t="s">
        <v>778</v>
      </c>
      <c r="B647" t="s">
        <v>759</v>
      </c>
    </row>
    <row r="648" spans="1:2" x14ac:dyDescent="0.3">
      <c r="A648" t="s">
        <v>779</v>
      </c>
      <c r="B648" t="s">
        <v>759</v>
      </c>
    </row>
    <row r="649" spans="1:2" x14ac:dyDescent="0.3">
      <c r="A649" t="s">
        <v>780</v>
      </c>
      <c r="B649" t="s">
        <v>759</v>
      </c>
    </row>
    <row r="650" spans="1:2" x14ac:dyDescent="0.3">
      <c r="A650" t="s">
        <v>781</v>
      </c>
      <c r="B650" t="s">
        <v>759</v>
      </c>
    </row>
    <row r="651" spans="1:2" x14ac:dyDescent="0.3">
      <c r="A651" t="s">
        <v>782</v>
      </c>
      <c r="B651" t="s">
        <v>759</v>
      </c>
    </row>
    <row r="652" spans="1:2" x14ac:dyDescent="0.3">
      <c r="A652" t="s">
        <v>783</v>
      </c>
      <c r="B652" t="s">
        <v>759</v>
      </c>
    </row>
    <row r="653" spans="1:2" x14ac:dyDescent="0.3">
      <c r="A653" t="s">
        <v>784</v>
      </c>
      <c r="B653" t="s">
        <v>759</v>
      </c>
    </row>
    <row r="654" spans="1:2" x14ac:dyDescent="0.3">
      <c r="A654" t="s">
        <v>785</v>
      </c>
      <c r="B654" t="s">
        <v>759</v>
      </c>
    </row>
    <row r="655" spans="1:2" x14ac:dyDescent="0.3">
      <c r="A655" t="s">
        <v>786</v>
      </c>
      <c r="B655" t="s">
        <v>759</v>
      </c>
    </row>
    <row r="656" spans="1:2" x14ac:dyDescent="0.3">
      <c r="A656" t="s">
        <v>787</v>
      </c>
      <c r="B656" t="s">
        <v>759</v>
      </c>
    </row>
    <row r="657" spans="1:2" x14ac:dyDescent="0.3">
      <c r="A657" t="s">
        <v>788</v>
      </c>
      <c r="B657" t="s">
        <v>759</v>
      </c>
    </row>
    <row r="658" spans="1:2" x14ac:dyDescent="0.3">
      <c r="A658" t="s">
        <v>789</v>
      </c>
      <c r="B658" t="s">
        <v>759</v>
      </c>
    </row>
    <row r="659" spans="1:2" x14ac:dyDescent="0.3">
      <c r="A659" t="s">
        <v>790</v>
      </c>
      <c r="B659" t="s">
        <v>759</v>
      </c>
    </row>
    <row r="660" spans="1:2" x14ac:dyDescent="0.3">
      <c r="B660" t="s">
        <v>179</v>
      </c>
    </row>
    <row r="661" spans="1:2" x14ac:dyDescent="0.3">
      <c r="A661" t="s">
        <v>791</v>
      </c>
      <c r="B661" t="s">
        <v>179</v>
      </c>
    </row>
    <row r="662" spans="1:2" x14ac:dyDescent="0.3">
      <c r="A662" t="s">
        <v>792</v>
      </c>
      <c r="B662" t="s">
        <v>179</v>
      </c>
    </row>
    <row r="663" spans="1:2" x14ac:dyDescent="0.3">
      <c r="B663" t="s">
        <v>179</v>
      </c>
    </row>
    <row r="664" spans="1:2" x14ac:dyDescent="0.3">
      <c r="A664" t="s">
        <v>793</v>
      </c>
      <c r="B664" t="s">
        <v>179</v>
      </c>
    </row>
    <row r="665" spans="1:2" x14ac:dyDescent="0.3">
      <c r="B665" t="s">
        <v>179</v>
      </c>
    </row>
    <row r="666" spans="1:2" x14ac:dyDescent="0.3">
      <c r="A666" t="s">
        <v>794</v>
      </c>
      <c r="B666" t="s">
        <v>179</v>
      </c>
    </row>
    <row r="667" spans="1:2" x14ac:dyDescent="0.3">
      <c r="A667" t="s">
        <v>795</v>
      </c>
      <c r="B667" t="s">
        <v>179</v>
      </c>
    </row>
    <row r="668" spans="1:2" x14ac:dyDescent="0.3">
      <c r="A668" t="s">
        <v>796</v>
      </c>
      <c r="B668" t="s">
        <v>179</v>
      </c>
    </row>
    <row r="669" spans="1:2" x14ac:dyDescent="0.3">
      <c r="A669" t="s">
        <v>797</v>
      </c>
      <c r="B669" t="s">
        <v>179</v>
      </c>
    </row>
    <row r="670" spans="1:2" x14ac:dyDescent="0.3">
      <c r="B670" t="s">
        <v>179</v>
      </c>
    </row>
    <row r="671" spans="1:2" x14ac:dyDescent="0.3">
      <c r="A671" t="s">
        <v>798</v>
      </c>
      <c r="B671" t="s">
        <v>179</v>
      </c>
    </row>
    <row r="672" spans="1:2" x14ac:dyDescent="0.3">
      <c r="A672" t="s">
        <v>799</v>
      </c>
      <c r="B672" t="s">
        <v>179</v>
      </c>
    </row>
    <row r="673" spans="1:2" x14ac:dyDescent="0.3">
      <c r="A673" t="s">
        <v>800</v>
      </c>
      <c r="B673" t="s">
        <v>179</v>
      </c>
    </row>
    <row r="674" spans="1:2" x14ac:dyDescent="0.3">
      <c r="B674" t="s">
        <v>801</v>
      </c>
    </row>
    <row r="675" spans="1:2" x14ac:dyDescent="0.3">
      <c r="B675" t="s">
        <v>801</v>
      </c>
    </row>
    <row r="676" spans="1:2" x14ac:dyDescent="0.3">
      <c r="B676" t="s">
        <v>801</v>
      </c>
    </row>
    <row r="677" spans="1:2" x14ac:dyDescent="0.3">
      <c r="A677" t="s">
        <v>802</v>
      </c>
      <c r="B677" t="s">
        <v>801</v>
      </c>
    </row>
    <row r="678" spans="1:2" x14ac:dyDescent="0.3">
      <c r="B678" t="s">
        <v>801</v>
      </c>
    </row>
    <row r="679" spans="1:2" x14ac:dyDescent="0.3">
      <c r="A679" t="s">
        <v>803</v>
      </c>
      <c r="B679" t="s">
        <v>801</v>
      </c>
    </row>
    <row r="680" spans="1:2" x14ac:dyDescent="0.3">
      <c r="A680" t="s">
        <v>804</v>
      </c>
      <c r="B680" t="s">
        <v>801</v>
      </c>
    </row>
    <row r="681" spans="1:2" x14ac:dyDescent="0.3">
      <c r="B681" t="s">
        <v>801</v>
      </c>
    </row>
    <row r="682" spans="1:2" x14ac:dyDescent="0.3">
      <c r="A682" t="s">
        <v>805</v>
      </c>
      <c r="B682" t="s">
        <v>801</v>
      </c>
    </row>
    <row r="683" spans="1:2" x14ac:dyDescent="0.3">
      <c r="A683" t="s">
        <v>806</v>
      </c>
      <c r="B683" t="s">
        <v>801</v>
      </c>
    </row>
    <row r="684" spans="1:2" x14ac:dyDescent="0.3">
      <c r="A684" t="s">
        <v>807</v>
      </c>
      <c r="B684" t="s">
        <v>801</v>
      </c>
    </row>
    <row r="685" spans="1:2" x14ac:dyDescent="0.3">
      <c r="A685" t="s">
        <v>808</v>
      </c>
      <c r="B685" t="s">
        <v>801</v>
      </c>
    </row>
    <row r="686" spans="1:2" x14ac:dyDescent="0.3">
      <c r="B686" t="s">
        <v>801</v>
      </c>
    </row>
    <row r="687" spans="1:2" x14ac:dyDescent="0.3">
      <c r="B687" t="s">
        <v>801</v>
      </c>
    </row>
    <row r="688" spans="1:2" x14ac:dyDescent="0.3">
      <c r="B688" t="s">
        <v>801</v>
      </c>
    </row>
    <row r="689" spans="1:2" x14ac:dyDescent="0.3">
      <c r="A689" t="s">
        <v>809</v>
      </c>
      <c r="B689" t="s">
        <v>801</v>
      </c>
    </row>
    <row r="690" spans="1:2" x14ac:dyDescent="0.3">
      <c r="A690" t="s">
        <v>810</v>
      </c>
      <c r="B690" t="s">
        <v>801</v>
      </c>
    </row>
    <row r="691" spans="1:2" x14ac:dyDescent="0.3">
      <c r="A691" t="s">
        <v>811</v>
      </c>
      <c r="B691" t="s">
        <v>801</v>
      </c>
    </row>
    <row r="692" spans="1:2" x14ac:dyDescent="0.3">
      <c r="B692" t="s">
        <v>801</v>
      </c>
    </row>
    <row r="693" spans="1:2" x14ac:dyDescent="0.3">
      <c r="B693" t="s">
        <v>801</v>
      </c>
    </row>
    <row r="694" spans="1:2" x14ac:dyDescent="0.3">
      <c r="B694" t="s">
        <v>801</v>
      </c>
    </row>
    <row r="695" spans="1:2" x14ac:dyDescent="0.3">
      <c r="A695" t="s">
        <v>812</v>
      </c>
      <c r="B695" t="s">
        <v>801</v>
      </c>
    </row>
    <row r="696" spans="1:2" x14ac:dyDescent="0.3">
      <c r="A696" t="s">
        <v>813</v>
      </c>
      <c r="B696" t="s">
        <v>801</v>
      </c>
    </row>
    <row r="697" spans="1:2" x14ac:dyDescent="0.3">
      <c r="A697" t="s">
        <v>814</v>
      </c>
      <c r="B697" t="s">
        <v>801</v>
      </c>
    </row>
    <row r="698" spans="1:2" x14ac:dyDescent="0.3">
      <c r="B698" t="s">
        <v>801</v>
      </c>
    </row>
    <row r="699" spans="1:2" x14ac:dyDescent="0.3">
      <c r="A699" t="s">
        <v>815</v>
      </c>
      <c r="B699" t="s">
        <v>801</v>
      </c>
    </row>
    <row r="700" spans="1:2" x14ac:dyDescent="0.3">
      <c r="A700" t="s">
        <v>816</v>
      </c>
      <c r="B700" t="s">
        <v>801</v>
      </c>
    </row>
    <row r="701" spans="1:2" x14ac:dyDescent="0.3">
      <c r="A701" t="s">
        <v>817</v>
      </c>
      <c r="B701" t="s">
        <v>801</v>
      </c>
    </row>
    <row r="702" spans="1:2" x14ac:dyDescent="0.3">
      <c r="B702" t="s">
        <v>801</v>
      </c>
    </row>
    <row r="703" spans="1:2" x14ac:dyDescent="0.3">
      <c r="A703" t="s">
        <v>818</v>
      </c>
      <c r="B703" t="s">
        <v>801</v>
      </c>
    </row>
    <row r="704" spans="1:2" x14ac:dyDescent="0.3">
      <c r="B704" t="s">
        <v>801</v>
      </c>
    </row>
    <row r="705" spans="1:2" x14ac:dyDescent="0.3">
      <c r="B705" t="s">
        <v>801</v>
      </c>
    </row>
    <row r="706" spans="1:2" x14ac:dyDescent="0.3">
      <c r="A706" t="s">
        <v>819</v>
      </c>
      <c r="B706" t="s">
        <v>801</v>
      </c>
    </row>
    <row r="707" spans="1:2" x14ac:dyDescent="0.3">
      <c r="A707" t="s">
        <v>820</v>
      </c>
      <c r="B707" t="s">
        <v>801</v>
      </c>
    </row>
    <row r="708" spans="1:2" x14ac:dyDescent="0.3">
      <c r="A708" t="s">
        <v>821</v>
      </c>
      <c r="B708" t="s">
        <v>801</v>
      </c>
    </row>
    <row r="709" spans="1:2" x14ac:dyDescent="0.3">
      <c r="B709" t="s">
        <v>801</v>
      </c>
    </row>
    <row r="710" spans="1:2" x14ac:dyDescent="0.3">
      <c r="A710" t="s">
        <v>822</v>
      </c>
      <c r="B710" t="s">
        <v>801</v>
      </c>
    </row>
    <row r="711" spans="1:2" x14ac:dyDescent="0.3">
      <c r="A711" t="s">
        <v>823</v>
      </c>
      <c r="B711" t="s">
        <v>801</v>
      </c>
    </row>
    <row r="712" spans="1:2" x14ac:dyDescent="0.3">
      <c r="B712" t="s">
        <v>801</v>
      </c>
    </row>
    <row r="713" spans="1:2" x14ac:dyDescent="0.3">
      <c r="A713" t="s">
        <v>824</v>
      </c>
      <c r="B713" t="s">
        <v>801</v>
      </c>
    </row>
    <row r="714" spans="1:2" x14ac:dyDescent="0.3">
      <c r="A714" t="s">
        <v>825</v>
      </c>
      <c r="B714" t="s">
        <v>801</v>
      </c>
    </row>
    <row r="715" spans="1:2" x14ac:dyDescent="0.3">
      <c r="B715" t="s">
        <v>801</v>
      </c>
    </row>
    <row r="716" spans="1:2" x14ac:dyDescent="0.3">
      <c r="A716" t="s">
        <v>826</v>
      </c>
      <c r="B716" t="s">
        <v>801</v>
      </c>
    </row>
    <row r="717" spans="1:2" x14ac:dyDescent="0.3">
      <c r="B717" t="s">
        <v>801</v>
      </c>
    </row>
    <row r="718" spans="1:2" x14ac:dyDescent="0.3">
      <c r="A718" t="s">
        <v>827</v>
      </c>
      <c r="B718" t="s">
        <v>801</v>
      </c>
    </row>
    <row r="719" spans="1:2" x14ac:dyDescent="0.3">
      <c r="B719" t="s">
        <v>801</v>
      </c>
    </row>
    <row r="720" spans="1:2" x14ac:dyDescent="0.3">
      <c r="A720" t="s">
        <v>828</v>
      </c>
      <c r="B720" t="s">
        <v>801</v>
      </c>
    </row>
    <row r="721" spans="1:2" x14ac:dyDescent="0.3">
      <c r="A721" t="s">
        <v>829</v>
      </c>
      <c r="B721" t="s">
        <v>801</v>
      </c>
    </row>
    <row r="722" spans="1:2" x14ac:dyDescent="0.3">
      <c r="A722" t="s">
        <v>830</v>
      </c>
      <c r="B722" t="s">
        <v>801</v>
      </c>
    </row>
    <row r="723" spans="1:2" x14ac:dyDescent="0.3">
      <c r="A723" t="s">
        <v>831</v>
      </c>
      <c r="B723" t="s">
        <v>801</v>
      </c>
    </row>
    <row r="724" spans="1:2" x14ac:dyDescent="0.3">
      <c r="A724" t="s">
        <v>832</v>
      </c>
      <c r="B724" t="s">
        <v>801</v>
      </c>
    </row>
    <row r="725" spans="1:2" x14ac:dyDescent="0.3">
      <c r="A725" t="s">
        <v>833</v>
      </c>
      <c r="B725" t="s">
        <v>801</v>
      </c>
    </row>
    <row r="726" spans="1:2" x14ac:dyDescent="0.3">
      <c r="B726" t="s">
        <v>801</v>
      </c>
    </row>
    <row r="727" spans="1:2" x14ac:dyDescent="0.3">
      <c r="B727" t="s">
        <v>801</v>
      </c>
    </row>
    <row r="728" spans="1:2" x14ac:dyDescent="0.3">
      <c r="A728" t="s">
        <v>834</v>
      </c>
      <c r="B728" t="s">
        <v>801</v>
      </c>
    </row>
    <row r="729" spans="1:2" x14ac:dyDescent="0.3">
      <c r="A729" t="s">
        <v>835</v>
      </c>
      <c r="B729" t="s">
        <v>801</v>
      </c>
    </row>
    <row r="730" spans="1:2" x14ac:dyDescent="0.3">
      <c r="A730" t="s">
        <v>836</v>
      </c>
      <c r="B730" t="s">
        <v>801</v>
      </c>
    </row>
    <row r="731" spans="1:2" x14ac:dyDescent="0.3">
      <c r="A731" t="s">
        <v>837</v>
      </c>
      <c r="B731" t="s">
        <v>801</v>
      </c>
    </row>
    <row r="732" spans="1:2" x14ac:dyDescent="0.3">
      <c r="A732" t="s">
        <v>838</v>
      </c>
      <c r="B732" t="s">
        <v>801</v>
      </c>
    </row>
    <row r="733" spans="1:2" x14ac:dyDescent="0.3">
      <c r="A733" t="s">
        <v>839</v>
      </c>
      <c r="B733" t="s">
        <v>801</v>
      </c>
    </row>
    <row r="734" spans="1:2" x14ac:dyDescent="0.3">
      <c r="A734" t="s">
        <v>840</v>
      </c>
      <c r="B734" t="s">
        <v>801</v>
      </c>
    </row>
    <row r="735" spans="1:2" x14ac:dyDescent="0.3">
      <c r="B735" t="s">
        <v>801</v>
      </c>
    </row>
    <row r="736" spans="1:2" x14ac:dyDescent="0.3">
      <c r="A736" t="s">
        <v>841</v>
      </c>
      <c r="B736" t="s">
        <v>801</v>
      </c>
    </row>
    <row r="737" spans="1:2" x14ac:dyDescent="0.3">
      <c r="B737" t="s">
        <v>801</v>
      </c>
    </row>
    <row r="738" spans="1:2" x14ac:dyDescent="0.3">
      <c r="A738" t="s">
        <v>842</v>
      </c>
      <c r="B738" t="s">
        <v>72</v>
      </c>
    </row>
    <row r="739" spans="1:2" x14ac:dyDescent="0.3">
      <c r="A739" t="s">
        <v>843</v>
      </c>
      <c r="B739" t="s">
        <v>72</v>
      </c>
    </row>
    <row r="740" spans="1:2" x14ac:dyDescent="0.3">
      <c r="B740" t="s">
        <v>72</v>
      </c>
    </row>
    <row r="741" spans="1:2" x14ac:dyDescent="0.3">
      <c r="A741" t="s">
        <v>844</v>
      </c>
      <c r="B741" t="s">
        <v>72</v>
      </c>
    </row>
    <row r="742" spans="1:2" x14ac:dyDescent="0.3">
      <c r="B742" t="s">
        <v>72</v>
      </c>
    </row>
    <row r="743" spans="1:2" x14ac:dyDescent="0.3">
      <c r="A743" t="s">
        <v>845</v>
      </c>
      <c r="B743" t="s">
        <v>72</v>
      </c>
    </row>
    <row r="744" spans="1:2" x14ac:dyDescent="0.3">
      <c r="B744" t="s">
        <v>72</v>
      </c>
    </row>
    <row r="745" spans="1:2" x14ac:dyDescent="0.3">
      <c r="B745" t="s">
        <v>72</v>
      </c>
    </row>
    <row r="746" spans="1:2" x14ac:dyDescent="0.3">
      <c r="B746" t="s">
        <v>72</v>
      </c>
    </row>
    <row r="747" spans="1:2" x14ac:dyDescent="0.3">
      <c r="B747" t="s">
        <v>72</v>
      </c>
    </row>
    <row r="748" spans="1:2" x14ac:dyDescent="0.3">
      <c r="B748" t="s">
        <v>72</v>
      </c>
    </row>
    <row r="749" spans="1:2" x14ac:dyDescent="0.3">
      <c r="B749" t="s">
        <v>72</v>
      </c>
    </row>
    <row r="750" spans="1:2" x14ac:dyDescent="0.3">
      <c r="B750" t="s">
        <v>72</v>
      </c>
    </row>
    <row r="751" spans="1:2" x14ac:dyDescent="0.3">
      <c r="B751" t="s">
        <v>72</v>
      </c>
    </row>
    <row r="752" spans="1:2" x14ac:dyDescent="0.3">
      <c r="A752" t="s">
        <v>846</v>
      </c>
      <c r="B752" t="s">
        <v>72</v>
      </c>
    </row>
    <row r="753" spans="1:2" x14ac:dyDescent="0.3">
      <c r="B753" t="s">
        <v>72</v>
      </c>
    </row>
    <row r="754" spans="1:2" x14ac:dyDescent="0.3">
      <c r="B754" t="s">
        <v>72</v>
      </c>
    </row>
    <row r="755" spans="1:2" x14ac:dyDescent="0.3">
      <c r="B755" t="s">
        <v>72</v>
      </c>
    </row>
    <row r="756" spans="1:2" x14ac:dyDescent="0.3">
      <c r="B756" t="s">
        <v>72</v>
      </c>
    </row>
    <row r="757" spans="1:2" x14ac:dyDescent="0.3">
      <c r="A757" t="s">
        <v>847</v>
      </c>
      <c r="B757" t="s">
        <v>72</v>
      </c>
    </row>
    <row r="758" spans="1:2" x14ac:dyDescent="0.3">
      <c r="B758" t="s">
        <v>72</v>
      </c>
    </row>
    <row r="759" spans="1:2" x14ac:dyDescent="0.3">
      <c r="B759" t="s">
        <v>72</v>
      </c>
    </row>
    <row r="760" spans="1:2" x14ac:dyDescent="0.3">
      <c r="A760" t="s">
        <v>848</v>
      </c>
      <c r="B760" t="s">
        <v>72</v>
      </c>
    </row>
    <row r="761" spans="1:2" x14ac:dyDescent="0.3">
      <c r="B761" t="s">
        <v>72</v>
      </c>
    </row>
    <row r="762" spans="1:2" x14ac:dyDescent="0.3">
      <c r="B762" t="s">
        <v>72</v>
      </c>
    </row>
    <row r="763" spans="1:2" x14ac:dyDescent="0.3">
      <c r="B763" t="s">
        <v>72</v>
      </c>
    </row>
    <row r="764" spans="1:2" x14ac:dyDescent="0.3">
      <c r="B764" t="s">
        <v>72</v>
      </c>
    </row>
    <row r="765" spans="1:2" x14ac:dyDescent="0.3">
      <c r="B765" t="s">
        <v>72</v>
      </c>
    </row>
    <row r="766" spans="1:2" x14ac:dyDescent="0.3">
      <c r="B766" t="s">
        <v>72</v>
      </c>
    </row>
    <row r="767" spans="1:2" x14ac:dyDescent="0.3">
      <c r="B767" t="s">
        <v>72</v>
      </c>
    </row>
    <row r="768" spans="1:2" x14ac:dyDescent="0.3">
      <c r="B768" t="s">
        <v>72</v>
      </c>
    </row>
    <row r="769" spans="1:2" x14ac:dyDescent="0.3">
      <c r="B769" t="s">
        <v>72</v>
      </c>
    </row>
    <row r="770" spans="1:2" x14ac:dyDescent="0.3">
      <c r="B770" t="s">
        <v>72</v>
      </c>
    </row>
    <row r="771" spans="1:2" x14ac:dyDescent="0.3">
      <c r="B771" t="s">
        <v>72</v>
      </c>
    </row>
    <row r="772" spans="1:2" x14ac:dyDescent="0.3">
      <c r="A772" t="s">
        <v>849</v>
      </c>
      <c r="B772" t="s">
        <v>72</v>
      </c>
    </row>
    <row r="773" spans="1:2" x14ac:dyDescent="0.3">
      <c r="B773" t="s">
        <v>72</v>
      </c>
    </row>
    <row r="774" spans="1:2" x14ac:dyDescent="0.3">
      <c r="B774" t="s">
        <v>72</v>
      </c>
    </row>
    <row r="775" spans="1:2" x14ac:dyDescent="0.3">
      <c r="B775" t="s">
        <v>72</v>
      </c>
    </row>
    <row r="776" spans="1:2" x14ac:dyDescent="0.3">
      <c r="B776" t="s">
        <v>72</v>
      </c>
    </row>
    <row r="777" spans="1:2" x14ac:dyDescent="0.3">
      <c r="A777" t="s">
        <v>850</v>
      </c>
      <c r="B777" t="s">
        <v>72</v>
      </c>
    </row>
    <row r="778" spans="1:2" x14ac:dyDescent="0.3">
      <c r="A778" t="s">
        <v>851</v>
      </c>
      <c r="B778" t="s">
        <v>170</v>
      </c>
    </row>
    <row r="779" spans="1:2" x14ac:dyDescent="0.3">
      <c r="A779" t="s">
        <v>852</v>
      </c>
      <c r="B779" t="s">
        <v>170</v>
      </c>
    </row>
    <row r="780" spans="1:2" x14ac:dyDescent="0.3">
      <c r="B780" t="s">
        <v>170</v>
      </c>
    </row>
    <row r="781" spans="1:2" x14ac:dyDescent="0.3">
      <c r="A781" t="s">
        <v>853</v>
      </c>
      <c r="B781" t="s">
        <v>170</v>
      </c>
    </row>
    <row r="782" spans="1:2" x14ac:dyDescent="0.3">
      <c r="A782" t="s">
        <v>854</v>
      </c>
      <c r="B782" t="s">
        <v>170</v>
      </c>
    </row>
    <row r="783" spans="1:2" x14ac:dyDescent="0.3">
      <c r="B783" t="s">
        <v>170</v>
      </c>
    </row>
    <row r="784" spans="1:2" x14ac:dyDescent="0.3">
      <c r="B784" t="s">
        <v>170</v>
      </c>
    </row>
    <row r="785" spans="1:2" x14ac:dyDescent="0.3">
      <c r="A785" t="s">
        <v>855</v>
      </c>
      <c r="B785" t="s">
        <v>170</v>
      </c>
    </row>
    <row r="786" spans="1:2" x14ac:dyDescent="0.3">
      <c r="B786" t="s">
        <v>170</v>
      </c>
    </row>
    <row r="787" spans="1:2" x14ac:dyDescent="0.3">
      <c r="A787" t="s">
        <v>856</v>
      </c>
      <c r="B787" t="s">
        <v>170</v>
      </c>
    </row>
    <row r="788" spans="1:2" x14ac:dyDescent="0.3">
      <c r="A788" t="s">
        <v>857</v>
      </c>
      <c r="B788" t="s">
        <v>170</v>
      </c>
    </row>
    <row r="789" spans="1:2" x14ac:dyDescent="0.3">
      <c r="B789" t="s">
        <v>170</v>
      </c>
    </row>
    <row r="790" spans="1:2" x14ac:dyDescent="0.3">
      <c r="B790" t="s">
        <v>170</v>
      </c>
    </row>
    <row r="791" spans="1:2" x14ac:dyDescent="0.3">
      <c r="A791" t="s">
        <v>858</v>
      </c>
      <c r="B791" t="s">
        <v>170</v>
      </c>
    </row>
    <row r="792" spans="1:2" x14ac:dyDescent="0.3">
      <c r="A792" t="s">
        <v>859</v>
      </c>
      <c r="B792" t="s">
        <v>170</v>
      </c>
    </row>
    <row r="793" spans="1:2" x14ac:dyDescent="0.3">
      <c r="B793" t="s">
        <v>170</v>
      </c>
    </row>
    <row r="794" spans="1:2" x14ac:dyDescent="0.3">
      <c r="B794" t="s">
        <v>170</v>
      </c>
    </row>
    <row r="795" spans="1:2" x14ac:dyDescent="0.3">
      <c r="B795" t="s">
        <v>170</v>
      </c>
    </row>
    <row r="796" spans="1:2" x14ac:dyDescent="0.3">
      <c r="B796" t="s">
        <v>170</v>
      </c>
    </row>
    <row r="797" spans="1:2" x14ac:dyDescent="0.3">
      <c r="B797" t="s">
        <v>170</v>
      </c>
    </row>
    <row r="798" spans="1:2" x14ac:dyDescent="0.3">
      <c r="A798" t="s">
        <v>860</v>
      </c>
      <c r="B798" t="s">
        <v>170</v>
      </c>
    </row>
    <row r="799" spans="1:2" x14ac:dyDescent="0.3">
      <c r="B799" t="s">
        <v>170</v>
      </c>
    </row>
    <row r="800" spans="1:2" x14ac:dyDescent="0.3">
      <c r="A800" t="s">
        <v>239</v>
      </c>
      <c r="B800" t="s">
        <v>170</v>
      </c>
    </row>
    <row r="801" spans="1:2" x14ac:dyDescent="0.3">
      <c r="B801" t="s">
        <v>170</v>
      </c>
    </row>
    <row r="802" spans="1:2" x14ac:dyDescent="0.3">
      <c r="A802" t="s">
        <v>861</v>
      </c>
      <c r="B802" t="s">
        <v>170</v>
      </c>
    </row>
    <row r="803" spans="1:2" x14ac:dyDescent="0.3">
      <c r="B803" t="s">
        <v>170</v>
      </c>
    </row>
    <row r="804" spans="1:2" x14ac:dyDescent="0.3">
      <c r="B804" t="s">
        <v>170</v>
      </c>
    </row>
    <row r="805" spans="1:2" x14ac:dyDescent="0.3">
      <c r="B805" t="s">
        <v>170</v>
      </c>
    </row>
    <row r="806" spans="1:2" x14ac:dyDescent="0.3">
      <c r="A806" t="s">
        <v>862</v>
      </c>
      <c r="B806" t="s">
        <v>170</v>
      </c>
    </row>
    <row r="807" spans="1:2" x14ac:dyDescent="0.3">
      <c r="A807" t="s">
        <v>863</v>
      </c>
      <c r="B807" t="s">
        <v>170</v>
      </c>
    </row>
    <row r="808" spans="1:2" x14ac:dyDescent="0.3">
      <c r="B808" t="s">
        <v>170</v>
      </c>
    </row>
    <row r="809" spans="1:2" x14ac:dyDescent="0.3">
      <c r="B809" t="s">
        <v>170</v>
      </c>
    </row>
    <row r="810" spans="1:2" x14ac:dyDescent="0.3">
      <c r="B810" t="s">
        <v>170</v>
      </c>
    </row>
    <row r="811" spans="1:2" x14ac:dyDescent="0.3">
      <c r="A811" t="s">
        <v>864</v>
      </c>
      <c r="B811" t="s">
        <v>170</v>
      </c>
    </row>
    <row r="812" spans="1:2" x14ac:dyDescent="0.3">
      <c r="B812" t="s">
        <v>170</v>
      </c>
    </row>
    <row r="813" spans="1:2" x14ac:dyDescent="0.3">
      <c r="A813" t="s">
        <v>865</v>
      </c>
      <c r="B813" t="s">
        <v>170</v>
      </c>
    </row>
    <row r="814" spans="1:2" x14ac:dyDescent="0.3">
      <c r="B814" t="s">
        <v>170</v>
      </c>
    </row>
    <row r="815" spans="1:2" x14ac:dyDescent="0.3">
      <c r="B815" t="s">
        <v>170</v>
      </c>
    </row>
    <row r="816" spans="1:2" x14ac:dyDescent="0.3">
      <c r="B816" t="s">
        <v>292</v>
      </c>
    </row>
    <row r="817" spans="1:2" x14ac:dyDescent="0.3">
      <c r="B817" t="s">
        <v>170</v>
      </c>
    </row>
    <row r="818" spans="1:2" x14ac:dyDescent="0.3">
      <c r="A818" t="s">
        <v>866</v>
      </c>
      <c r="B818" t="s">
        <v>170</v>
      </c>
    </row>
    <row r="819" spans="1:2" x14ac:dyDescent="0.3">
      <c r="B819" t="s">
        <v>170</v>
      </c>
    </row>
    <row r="820" spans="1:2" x14ac:dyDescent="0.3">
      <c r="A820" t="s">
        <v>867</v>
      </c>
      <c r="B820" t="s">
        <v>170</v>
      </c>
    </row>
    <row r="821" spans="1:2" x14ac:dyDescent="0.3">
      <c r="B821" t="s">
        <v>170</v>
      </c>
    </row>
    <row r="822" spans="1:2" x14ac:dyDescent="0.3">
      <c r="B822" t="s">
        <v>170</v>
      </c>
    </row>
    <row r="823" spans="1:2" x14ac:dyDescent="0.3">
      <c r="A823" t="s">
        <v>868</v>
      </c>
      <c r="B823" t="s">
        <v>170</v>
      </c>
    </row>
    <row r="824" spans="1:2" x14ac:dyDescent="0.3">
      <c r="A824" t="s">
        <v>869</v>
      </c>
      <c r="B824" t="s">
        <v>170</v>
      </c>
    </row>
    <row r="825" spans="1:2" x14ac:dyDescent="0.3">
      <c r="B825" t="s">
        <v>170</v>
      </c>
    </row>
    <row r="826" spans="1:2" x14ac:dyDescent="0.3">
      <c r="A826" t="s">
        <v>870</v>
      </c>
      <c r="B826" t="s">
        <v>170</v>
      </c>
    </row>
    <row r="827" spans="1:2" x14ac:dyDescent="0.3">
      <c r="A827" t="s">
        <v>871</v>
      </c>
      <c r="B827" t="s">
        <v>170</v>
      </c>
    </row>
    <row r="828" spans="1:2" x14ac:dyDescent="0.3">
      <c r="B828" t="s">
        <v>170</v>
      </c>
    </row>
    <row r="829" spans="1:2" x14ac:dyDescent="0.3">
      <c r="A829" t="s">
        <v>872</v>
      </c>
      <c r="B829" t="s">
        <v>170</v>
      </c>
    </row>
    <row r="830" spans="1:2" x14ac:dyDescent="0.3">
      <c r="A830" t="s">
        <v>873</v>
      </c>
      <c r="B830" t="s">
        <v>170</v>
      </c>
    </row>
    <row r="831" spans="1:2" x14ac:dyDescent="0.3">
      <c r="B831" t="s">
        <v>170</v>
      </c>
    </row>
    <row r="832" spans="1:2" x14ac:dyDescent="0.3">
      <c r="B832" t="s">
        <v>170</v>
      </c>
    </row>
    <row r="833" spans="1:2" x14ac:dyDescent="0.3">
      <c r="B833" t="s">
        <v>170</v>
      </c>
    </row>
    <row r="834" spans="1:2" x14ac:dyDescent="0.3">
      <c r="A834" t="s">
        <v>874</v>
      </c>
      <c r="B834" t="s">
        <v>170</v>
      </c>
    </row>
    <row r="835" spans="1:2" x14ac:dyDescent="0.3">
      <c r="A835" t="s">
        <v>875</v>
      </c>
      <c r="B835" t="s">
        <v>170</v>
      </c>
    </row>
    <row r="836" spans="1:2" x14ac:dyDescent="0.3">
      <c r="B836" t="s">
        <v>170</v>
      </c>
    </row>
    <row r="837" spans="1:2" x14ac:dyDescent="0.3">
      <c r="B837" t="s">
        <v>170</v>
      </c>
    </row>
    <row r="838" spans="1:2" x14ac:dyDescent="0.3">
      <c r="A838" t="s">
        <v>876</v>
      </c>
      <c r="B838" t="s">
        <v>170</v>
      </c>
    </row>
    <row r="839" spans="1:2" x14ac:dyDescent="0.3">
      <c r="B839" t="s">
        <v>170</v>
      </c>
    </row>
    <row r="840" spans="1:2" x14ac:dyDescent="0.3">
      <c r="B840" t="s">
        <v>170</v>
      </c>
    </row>
    <row r="841" spans="1:2" x14ac:dyDescent="0.3">
      <c r="B841" t="s">
        <v>170</v>
      </c>
    </row>
    <row r="842" spans="1:2" x14ac:dyDescent="0.3">
      <c r="B842" t="s">
        <v>170</v>
      </c>
    </row>
    <row r="843" spans="1:2" x14ac:dyDescent="0.3">
      <c r="A843" t="s">
        <v>877</v>
      </c>
      <c r="B843" t="s">
        <v>170</v>
      </c>
    </row>
    <row r="844" spans="1:2" x14ac:dyDescent="0.3">
      <c r="B844" t="s">
        <v>170</v>
      </c>
    </row>
    <row r="845" spans="1:2" x14ac:dyDescent="0.3">
      <c r="A845" t="s">
        <v>878</v>
      </c>
      <c r="B845" t="s">
        <v>170</v>
      </c>
    </row>
    <row r="846" spans="1:2" x14ac:dyDescent="0.3">
      <c r="B846" t="s">
        <v>170</v>
      </c>
    </row>
    <row r="847" spans="1:2" x14ac:dyDescent="0.3">
      <c r="B847" t="s">
        <v>170</v>
      </c>
    </row>
    <row r="848" spans="1:2" x14ac:dyDescent="0.3">
      <c r="B848" t="s">
        <v>170</v>
      </c>
    </row>
    <row r="849" spans="1:2" x14ac:dyDescent="0.3">
      <c r="A849" t="s">
        <v>879</v>
      </c>
      <c r="B849" t="s">
        <v>170</v>
      </c>
    </row>
    <row r="850" spans="1:2" x14ac:dyDescent="0.3">
      <c r="A850" t="s">
        <v>880</v>
      </c>
      <c r="B850" t="s">
        <v>170</v>
      </c>
    </row>
    <row r="851" spans="1:2" x14ac:dyDescent="0.3">
      <c r="A851" t="s">
        <v>881</v>
      </c>
      <c r="B851" t="s">
        <v>170</v>
      </c>
    </row>
    <row r="852" spans="1:2" x14ac:dyDescent="0.3">
      <c r="A852" t="s">
        <v>882</v>
      </c>
      <c r="B852" t="s">
        <v>170</v>
      </c>
    </row>
    <row r="853" spans="1:2" x14ac:dyDescent="0.3">
      <c r="A853" t="s">
        <v>883</v>
      </c>
      <c r="B853" t="s">
        <v>170</v>
      </c>
    </row>
    <row r="854" spans="1:2" x14ac:dyDescent="0.3">
      <c r="A854" t="s">
        <v>884</v>
      </c>
      <c r="B854" t="s">
        <v>170</v>
      </c>
    </row>
    <row r="855" spans="1:2" x14ac:dyDescent="0.3">
      <c r="B855" t="s">
        <v>170</v>
      </c>
    </row>
    <row r="856" spans="1:2" x14ac:dyDescent="0.3">
      <c r="B856" t="s">
        <v>170</v>
      </c>
    </row>
    <row r="857" spans="1:2" x14ac:dyDescent="0.3">
      <c r="A857" t="s">
        <v>885</v>
      </c>
      <c r="B857" t="s">
        <v>170</v>
      </c>
    </row>
    <row r="858" spans="1:2" x14ac:dyDescent="0.3">
      <c r="B858" t="s">
        <v>170</v>
      </c>
    </row>
    <row r="859" spans="1:2" x14ac:dyDescent="0.3">
      <c r="B859" t="s">
        <v>170</v>
      </c>
    </row>
    <row r="860" spans="1:2" x14ac:dyDescent="0.3">
      <c r="A860" t="s">
        <v>886</v>
      </c>
      <c r="B860" t="s">
        <v>170</v>
      </c>
    </row>
    <row r="861" spans="1:2" x14ac:dyDescent="0.3">
      <c r="B861" t="s">
        <v>170</v>
      </c>
    </row>
    <row r="862" spans="1:2" x14ac:dyDescent="0.3">
      <c r="B862" t="s">
        <v>170</v>
      </c>
    </row>
    <row r="863" spans="1:2" x14ac:dyDescent="0.3">
      <c r="A863" t="s">
        <v>887</v>
      </c>
      <c r="B863" t="s">
        <v>888</v>
      </c>
    </row>
    <row r="864" spans="1:2" x14ac:dyDescent="0.3">
      <c r="A864" t="s">
        <v>889</v>
      </c>
      <c r="B864" t="s">
        <v>888</v>
      </c>
    </row>
    <row r="865" spans="1:2" x14ac:dyDescent="0.3">
      <c r="A865" t="s">
        <v>890</v>
      </c>
      <c r="B865" t="s">
        <v>888</v>
      </c>
    </row>
    <row r="866" spans="1:2" x14ac:dyDescent="0.3">
      <c r="A866" t="s">
        <v>891</v>
      </c>
      <c r="B866" t="s">
        <v>888</v>
      </c>
    </row>
    <row r="867" spans="1:2" x14ac:dyDescent="0.3">
      <c r="A867" t="s">
        <v>892</v>
      </c>
      <c r="B867" t="s">
        <v>888</v>
      </c>
    </row>
    <row r="868" spans="1:2" x14ac:dyDescent="0.3">
      <c r="A868" t="s">
        <v>893</v>
      </c>
      <c r="B868" t="s">
        <v>888</v>
      </c>
    </row>
    <row r="869" spans="1:2" x14ac:dyDescent="0.3">
      <c r="A869" t="s">
        <v>894</v>
      </c>
      <c r="B869" t="s">
        <v>197</v>
      </c>
    </row>
    <row r="870" spans="1:2" x14ac:dyDescent="0.3">
      <c r="A870" t="s">
        <v>895</v>
      </c>
      <c r="B870" t="s">
        <v>896</v>
      </c>
    </row>
    <row r="871" spans="1:2" x14ac:dyDescent="0.3">
      <c r="A871" t="s">
        <v>897</v>
      </c>
      <c r="B871" t="s">
        <v>896</v>
      </c>
    </row>
    <row r="872" spans="1:2" x14ac:dyDescent="0.3">
      <c r="A872" t="s">
        <v>250</v>
      </c>
      <c r="B872" t="s">
        <v>197</v>
      </c>
    </row>
    <row r="873" spans="1:2" x14ac:dyDescent="0.3">
      <c r="A873" t="s">
        <v>898</v>
      </c>
      <c r="B873" t="s">
        <v>899</v>
      </c>
    </row>
    <row r="874" spans="1:2" x14ac:dyDescent="0.3">
      <c r="A874" t="s">
        <v>900</v>
      </c>
      <c r="B874" t="s">
        <v>901</v>
      </c>
    </row>
    <row r="875" spans="1:2" x14ac:dyDescent="0.3">
      <c r="A875" t="s">
        <v>902</v>
      </c>
      <c r="B875" t="s">
        <v>901</v>
      </c>
    </row>
    <row r="876" spans="1:2" x14ac:dyDescent="0.3">
      <c r="A876" t="s">
        <v>903</v>
      </c>
      <c r="B876" t="s">
        <v>904</v>
      </c>
    </row>
    <row r="877" spans="1:2" x14ac:dyDescent="0.3">
      <c r="A877" t="s">
        <v>905</v>
      </c>
      <c r="B877" t="s">
        <v>904</v>
      </c>
    </row>
    <row r="878" spans="1:2" x14ac:dyDescent="0.3">
      <c r="B878" t="s">
        <v>906</v>
      </c>
    </row>
    <row r="879" spans="1:2" x14ac:dyDescent="0.3">
      <c r="A879" t="s">
        <v>907</v>
      </c>
      <c r="B879" t="s">
        <v>908</v>
      </c>
    </row>
    <row r="880" spans="1:2" x14ac:dyDescent="0.3">
      <c r="A880" t="s">
        <v>909</v>
      </c>
      <c r="B880" t="s">
        <v>908</v>
      </c>
    </row>
    <row r="881" spans="1:2" x14ac:dyDescent="0.3">
      <c r="B881" t="s">
        <v>910</v>
      </c>
    </row>
    <row r="882" spans="1:2" x14ac:dyDescent="0.3">
      <c r="A882" t="s">
        <v>911</v>
      </c>
      <c r="B882" t="s">
        <v>912</v>
      </c>
    </row>
    <row r="883" spans="1:2" x14ac:dyDescent="0.3">
      <c r="A883" t="s">
        <v>913</v>
      </c>
      <c r="B883" t="s">
        <v>912</v>
      </c>
    </row>
    <row r="884" spans="1:2" x14ac:dyDescent="0.3">
      <c r="A884" t="s">
        <v>914</v>
      </c>
      <c r="B884" t="s">
        <v>912</v>
      </c>
    </row>
    <row r="885" spans="1:2" x14ac:dyDescent="0.3">
      <c r="A885" t="s">
        <v>915</v>
      </c>
      <c r="B885" t="s">
        <v>912</v>
      </c>
    </row>
    <row r="886" spans="1:2" x14ac:dyDescent="0.3">
      <c r="A886" t="s">
        <v>916</v>
      </c>
      <c r="B886" t="s">
        <v>912</v>
      </c>
    </row>
    <row r="887" spans="1:2" x14ac:dyDescent="0.3">
      <c r="A887" t="s">
        <v>917</v>
      </c>
      <c r="B887" t="s">
        <v>912</v>
      </c>
    </row>
    <row r="888" spans="1:2" x14ac:dyDescent="0.3">
      <c r="A888" t="s">
        <v>918</v>
      </c>
      <c r="B888" t="s">
        <v>912</v>
      </c>
    </row>
    <row r="889" spans="1:2" x14ac:dyDescent="0.3">
      <c r="A889" t="s">
        <v>919</v>
      </c>
      <c r="B889" t="s">
        <v>912</v>
      </c>
    </row>
    <row r="890" spans="1:2" x14ac:dyDescent="0.3">
      <c r="A890" t="s">
        <v>920</v>
      </c>
      <c r="B890" t="s">
        <v>912</v>
      </c>
    </row>
    <row r="891" spans="1:2" x14ac:dyDescent="0.3">
      <c r="B891" t="s">
        <v>921</v>
      </c>
    </row>
    <row r="892" spans="1:2" x14ac:dyDescent="0.3">
      <c r="A892" t="s">
        <v>25</v>
      </c>
      <c r="B892" t="s">
        <v>921</v>
      </c>
    </row>
    <row r="893" spans="1:2" x14ac:dyDescent="0.3">
      <c r="A893" t="s">
        <v>922</v>
      </c>
      <c r="B893" t="s">
        <v>921</v>
      </c>
    </row>
    <row r="894" spans="1:2" x14ac:dyDescent="0.3">
      <c r="A894" t="s">
        <v>923</v>
      </c>
      <c r="B894" t="s">
        <v>921</v>
      </c>
    </row>
    <row r="895" spans="1:2" x14ac:dyDescent="0.3">
      <c r="B895" t="s">
        <v>921</v>
      </c>
    </row>
    <row r="896" spans="1:2" x14ac:dyDescent="0.3">
      <c r="A896" t="s">
        <v>924</v>
      </c>
      <c r="B896" t="s">
        <v>921</v>
      </c>
    </row>
    <row r="897" spans="1:2" x14ac:dyDescent="0.3">
      <c r="A897" t="s">
        <v>925</v>
      </c>
      <c r="B897" t="s">
        <v>921</v>
      </c>
    </row>
    <row r="898" spans="1:2" x14ac:dyDescent="0.3">
      <c r="A898" t="s">
        <v>926</v>
      </c>
      <c r="B898" t="s">
        <v>927</v>
      </c>
    </row>
    <row r="899" spans="1:2" x14ac:dyDescent="0.3">
      <c r="A899" t="s">
        <v>928</v>
      </c>
      <c r="B899" t="s">
        <v>927</v>
      </c>
    </row>
    <row r="900" spans="1:2" x14ac:dyDescent="0.3">
      <c r="A900" t="s">
        <v>929</v>
      </c>
      <c r="B900" t="s">
        <v>927</v>
      </c>
    </row>
    <row r="901" spans="1:2" x14ac:dyDescent="0.3">
      <c r="A901" t="s">
        <v>484</v>
      </c>
      <c r="B901" t="s">
        <v>930</v>
      </c>
    </row>
    <row r="902" spans="1:2" x14ac:dyDescent="0.3">
      <c r="A902" t="s">
        <v>931</v>
      </c>
      <c r="B902" t="s">
        <v>932</v>
      </c>
    </row>
    <row r="903" spans="1:2" x14ac:dyDescent="0.3">
      <c r="A903" t="s">
        <v>933</v>
      </c>
      <c r="B903" t="s">
        <v>932</v>
      </c>
    </row>
    <row r="904" spans="1:2" x14ac:dyDescent="0.3">
      <c r="A904" t="s">
        <v>934</v>
      </c>
      <c r="B904" t="s">
        <v>935</v>
      </c>
    </row>
    <row r="905" spans="1:2" x14ac:dyDescent="0.3">
      <c r="A905" t="s">
        <v>936</v>
      </c>
      <c r="B905" t="s">
        <v>935</v>
      </c>
    </row>
    <row r="906" spans="1:2" x14ac:dyDescent="0.3">
      <c r="A906" t="s">
        <v>937</v>
      </c>
      <c r="B906" t="s">
        <v>935</v>
      </c>
    </row>
    <row r="907" spans="1:2" x14ac:dyDescent="0.3">
      <c r="A907" t="s">
        <v>938</v>
      </c>
      <c r="B907" t="s">
        <v>935</v>
      </c>
    </row>
    <row r="908" spans="1:2" x14ac:dyDescent="0.3">
      <c r="A908" t="s">
        <v>939</v>
      </c>
      <c r="B908" t="s">
        <v>935</v>
      </c>
    </row>
    <row r="909" spans="1:2" x14ac:dyDescent="0.3">
      <c r="A909" t="s">
        <v>940</v>
      </c>
      <c r="B909" t="s">
        <v>935</v>
      </c>
    </row>
    <row r="910" spans="1:2" x14ac:dyDescent="0.3">
      <c r="A910" t="s">
        <v>941</v>
      </c>
      <c r="B910" t="s">
        <v>935</v>
      </c>
    </row>
    <row r="911" spans="1:2" x14ac:dyDescent="0.3">
      <c r="A911" t="s">
        <v>942</v>
      </c>
      <c r="B911" t="s">
        <v>935</v>
      </c>
    </row>
    <row r="912" spans="1:2" x14ac:dyDescent="0.3">
      <c r="A912" t="s">
        <v>943</v>
      </c>
      <c r="B912" t="s">
        <v>935</v>
      </c>
    </row>
    <row r="913" spans="1:2" x14ac:dyDescent="0.3">
      <c r="A913" t="s">
        <v>944</v>
      </c>
      <c r="B913" t="s">
        <v>935</v>
      </c>
    </row>
    <row r="914" spans="1:2" x14ac:dyDescent="0.3">
      <c r="A914" t="s">
        <v>945</v>
      </c>
      <c r="B914" t="s">
        <v>935</v>
      </c>
    </row>
    <row r="915" spans="1:2" x14ac:dyDescent="0.3">
      <c r="A915" t="s">
        <v>946</v>
      </c>
      <c r="B915" t="s">
        <v>935</v>
      </c>
    </row>
    <row r="916" spans="1:2" x14ac:dyDescent="0.3">
      <c r="A916" t="s">
        <v>947</v>
      </c>
      <c r="B916" t="s">
        <v>935</v>
      </c>
    </row>
    <row r="917" spans="1:2" x14ac:dyDescent="0.3">
      <c r="A917" t="s">
        <v>948</v>
      </c>
      <c r="B917" t="s">
        <v>935</v>
      </c>
    </row>
    <row r="918" spans="1:2" x14ac:dyDescent="0.3">
      <c r="A918" t="s">
        <v>949</v>
      </c>
      <c r="B918" t="s">
        <v>935</v>
      </c>
    </row>
    <row r="919" spans="1:2" x14ac:dyDescent="0.3">
      <c r="A919" t="s">
        <v>950</v>
      </c>
      <c r="B919" t="s">
        <v>935</v>
      </c>
    </row>
    <row r="920" spans="1:2" x14ac:dyDescent="0.3">
      <c r="A920" t="s">
        <v>951</v>
      </c>
      <c r="B920" t="s">
        <v>935</v>
      </c>
    </row>
    <row r="921" spans="1:2" x14ac:dyDescent="0.3">
      <c r="A921" t="s">
        <v>952</v>
      </c>
      <c r="B921" t="s">
        <v>935</v>
      </c>
    </row>
    <row r="922" spans="1:2" x14ac:dyDescent="0.3">
      <c r="B922" t="s">
        <v>935</v>
      </c>
    </row>
    <row r="923" spans="1:2" x14ac:dyDescent="0.3">
      <c r="A923" t="s">
        <v>953</v>
      </c>
      <c r="B923" t="s">
        <v>935</v>
      </c>
    </row>
    <row r="924" spans="1:2" x14ac:dyDescent="0.3">
      <c r="A924" t="s">
        <v>954</v>
      </c>
      <c r="B924" t="s">
        <v>935</v>
      </c>
    </row>
    <row r="925" spans="1:2" x14ac:dyDescent="0.3">
      <c r="A925" t="s">
        <v>955</v>
      </c>
      <c r="B925" t="s">
        <v>935</v>
      </c>
    </row>
    <row r="926" spans="1:2" x14ac:dyDescent="0.3">
      <c r="A926" t="s">
        <v>956</v>
      </c>
      <c r="B926" t="s">
        <v>935</v>
      </c>
    </row>
    <row r="927" spans="1:2" x14ac:dyDescent="0.3">
      <c r="A927" t="s">
        <v>957</v>
      </c>
      <c r="B927" t="s">
        <v>935</v>
      </c>
    </row>
    <row r="928" spans="1:2" x14ac:dyDescent="0.3">
      <c r="A928" t="s">
        <v>958</v>
      </c>
      <c r="B928" t="s">
        <v>935</v>
      </c>
    </row>
    <row r="929" spans="1:2" x14ac:dyDescent="0.3">
      <c r="A929" t="s">
        <v>959</v>
      </c>
      <c r="B929" t="s">
        <v>935</v>
      </c>
    </row>
    <row r="930" spans="1:2" x14ac:dyDescent="0.3">
      <c r="A930" t="s">
        <v>960</v>
      </c>
      <c r="B930" t="s">
        <v>961</v>
      </c>
    </row>
    <row r="931" spans="1:2" x14ac:dyDescent="0.3">
      <c r="A931" t="s">
        <v>962</v>
      </c>
      <c r="B931" t="s">
        <v>961</v>
      </c>
    </row>
    <row r="932" spans="1:2" x14ac:dyDescent="0.3">
      <c r="A932" t="s">
        <v>963</v>
      </c>
      <c r="B932" t="s">
        <v>961</v>
      </c>
    </row>
    <row r="933" spans="1:2" x14ac:dyDescent="0.3">
      <c r="A933" t="s">
        <v>964</v>
      </c>
      <c r="B933" t="s">
        <v>167</v>
      </c>
    </row>
    <row r="934" spans="1:2" x14ac:dyDescent="0.3">
      <c r="A934" t="s">
        <v>965</v>
      </c>
      <c r="B934" t="s">
        <v>961</v>
      </c>
    </row>
    <row r="935" spans="1:2" x14ac:dyDescent="0.3">
      <c r="A935" t="s">
        <v>966</v>
      </c>
      <c r="B935" t="s">
        <v>961</v>
      </c>
    </row>
    <row r="936" spans="1:2" x14ac:dyDescent="0.3">
      <c r="B936" t="s">
        <v>961</v>
      </c>
    </row>
    <row r="937" spans="1:2" x14ac:dyDescent="0.3">
      <c r="A937" t="s">
        <v>967</v>
      </c>
      <c r="B937" t="s">
        <v>961</v>
      </c>
    </row>
    <row r="938" spans="1:2" x14ac:dyDescent="0.3">
      <c r="A938" t="s">
        <v>968</v>
      </c>
      <c r="B938" t="s">
        <v>961</v>
      </c>
    </row>
    <row r="939" spans="1:2" x14ac:dyDescent="0.3">
      <c r="A939" t="s">
        <v>969</v>
      </c>
      <c r="B939" t="s">
        <v>961</v>
      </c>
    </row>
    <row r="940" spans="1:2" x14ac:dyDescent="0.3">
      <c r="A940" t="s">
        <v>970</v>
      </c>
      <c r="B940" t="s">
        <v>961</v>
      </c>
    </row>
    <row r="941" spans="1:2" x14ac:dyDescent="0.3">
      <c r="A941" t="s">
        <v>971</v>
      </c>
      <c r="B941" t="s">
        <v>961</v>
      </c>
    </row>
    <row r="942" spans="1:2" x14ac:dyDescent="0.3">
      <c r="A942" t="s">
        <v>972</v>
      </c>
      <c r="B942" t="s">
        <v>961</v>
      </c>
    </row>
    <row r="943" spans="1:2" x14ac:dyDescent="0.3">
      <c r="A943" t="s">
        <v>973</v>
      </c>
      <c r="B943" t="s">
        <v>961</v>
      </c>
    </row>
    <row r="944" spans="1:2" x14ac:dyDescent="0.3">
      <c r="A944" t="s">
        <v>974</v>
      </c>
      <c r="B944" t="s">
        <v>961</v>
      </c>
    </row>
    <row r="945" spans="1:2" x14ac:dyDescent="0.3">
      <c r="A945" t="s">
        <v>975</v>
      </c>
      <c r="B945" t="s">
        <v>961</v>
      </c>
    </row>
    <row r="946" spans="1:2" x14ac:dyDescent="0.3">
      <c r="A946" t="s">
        <v>976</v>
      </c>
      <c r="B946" t="s">
        <v>961</v>
      </c>
    </row>
    <row r="947" spans="1:2" x14ac:dyDescent="0.3">
      <c r="A947" t="s">
        <v>977</v>
      </c>
      <c r="B947" t="s">
        <v>961</v>
      </c>
    </row>
    <row r="948" spans="1:2" x14ac:dyDescent="0.3">
      <c r="A948" t="s">
        <v>978</v>
      </c>
      <c r="B948" t="s">
        <v>979</v>
      </c>
    </row>
    <row r="949" spans="1:2" x14ac:dyDescent="0.3">
      <c r="A949" t="s">
        <v>980</v>
      </c>
      <c r="B949" t="s">
        <v>979</v>
      </c>
    </row>
    <row r="950" spans="1:2" x14ac:dyDescent="0.3">
      <c r="A950" t="s">
        <v>981</v>
      </c>
      <c r="B950" t="s">
        <v>979</v>
      </c>
    </row>
    <row r="951" spans="1:2" x14ac:dyDescent="0.3">
      <c r="A951" t="s">
        <v>982</v>
      </c>
      <c r="B951" t="s">
        <v>979</v>
      </c>
    </row>
    <row r="952" spans="1:2" x14ac:dyDescent="0.3">
      <c r="A952" t="s">
        <v>983</v>
      </c>
      <c r="B952" t="s">
        <v>979</v>
      </c>
    </row>
    <row r="953" spans="1:2" x14ac:dyDescent="0.3">
      <c r="A953" t="s">
        <v>984</v>
      </c>
      <c r="B953" t="s">
        <v>979</v>
      </c>
    </row>
    <row r="954" spans="1:2" x14ac:dyDescent="0.3">
      <c r="A954" t="s">
        <v>985</v>
      </c>
      <c r="B954" t="s">
        <v>979</v>
      </c>
    </row>
    <row r="955" spans="1:2" x14ac:dyDescent="0.3">
      <c r="A955" t="s">
        <v>986</v>
      </c>
      <c r="B955" t="s">
        <v>979</v>
      </c>
    </row>
    <row r="956" spans="1:2" x14ac:dyDescent="0.3">
      <c r="A956" t="s">
        <v>987</v>
      </c>
      <c r="B956" t="s">
        <v>979</v>
      </c>
    </row>
    <row r="957" spans="1:2" x14ac:dyDescent="0.3">
      <c r="A957" t="s">
        <v>988</v>
      </c>
      <c r="B957" t="s">
        <v>989</v>
      </c>
    </row>
    <row r="958" spans="1:2" x14ac:dyDescent="0.3">
      <c r="A958" t="s">
        <v>990</v>
      </c>
      <c r="B958" t="s">
        <v>989</v>
      </c>
    </row>
    <row r="959" spans="1:2" x14ac:dyDescent="0.3">
      <c r="A959" t="s">
        <v>991</v>
      </c>
      <c r="B959" t="s">
        <v>992</v>
      </c>
    </row>
    <row r="960" spans="1:2" x14ac:dyDescent="0.3">
      <c r="A960" t="s">
        <v>993</v>
      </c>
      <c r="B960" t="s">
        <v>992</v>
      </c>
    </row>
    <row r="961" spans="1:2" x14ac:dyDescent="0.3">
      <c r="A961" t="s">
        <v>994</v>
      </c>
      <c r="B961" t="s">
        <v>992</v>
      </c>
    </row>
    <row r="962" spans="1:2" x14ac:dyDescent="0.3">
      <c r="B962" t="s">
        <v>992</v>
      </c>
    </row>
    <row r="963" spans="1:2" x14ac:dyDescent="0.3">
      <c r="A963" t="s">
        <v>995</v>
      </c>
      <c r="B963" t="s">
        <v>992</v>
      </c>
    </row>
    <row r="964" spans="1:2" x14ac:dyDescent="0.3">
      <c r="B964" t="s">
        <v>992</v>
      </c>
    </row>
    <row r="965" spans="1:2" x14ac:dyDescent="0.3">
      <c r="A965" t="s">
        <v>996</v>
      </c>
      <c r="B965" t="s">
        <v>992</v>
      </c>
    </row>
    <row r="966" spans="1:2" x14ac:dyDescent="0.3">
      <c r="B966" t="s">
        <v>992</v>
      </c>
    </row>
    <row r="967" spans="1:2" x14ac:dyDescent="0.3">
      <c r="A967" t="s">
        <v>997</v>
      </c>
      <c r="B967" t="s">
        <v>992</v>
      </c>
    </row>
    <row r="968" spans="1:2" x14ac:dyDescent="0.3">
      <c r="A968" t="s">
        <v>998</v>
      </c>
      <c r="B968" t="s">
        <v>992</v>
      </c>
    </row>
    <row r="969" spans="1:2" x14ac:dyDescent="0.3">
      <c r="A969" t="s">
        <v>179</v>
      </c>
      <c r="B969" t="s">
        <v>992</v>
      </c>
    </row>
    <row r="970" spans="1:2" x14ac:dyDescent="0.3">
      <c r="A970" t="s">
        <v>999</v>
      </c>
      <c r="B970" t="s">
        <v>992</v>
      </c>
    </row>
    <row r="971" spans="1:2" x14ac:dyDescent="0.3">
      <c r="B971" t="s">
        <v>992</v>
      </c>
    </row>
    <row r="972" spans="1:2" x14ac:dyDescent="0.3">
      <c r="A972" t="s">
        <v>1000</v>
      </c>
      <c r="B972" t="s">
        <v>992</v>
      </c>
    </row>
    <row r="973" spans="1:2" x14ac:dyDescent="0.3">
      <c r="B973" t="s">
        <v>992</v>
      </c>
    </row>
    <row r="974" spans="1:2" x14ac:dyDescent="0.3">
      <c r="A974" t="s">
        <v>1001</v>
      </c>
      <c r="B974" t="s">
        <v>992</v>
      </c>
    </row>
    <row r="975" spans="1:2" x14ac:dyDescent="0.3">
      <c r="B975" t="s">
        <v>1002</v>
      </c>
    </row>
    <row r="976" spans="1:2" x14ac:dyDescent="0.3">
      <c r="A976" t="s">
        <v>1003</v>
      </c>
      <c r="B976" t="s">
        <v>1002</v>
      </c>
    </row>
    <row r="977" spans="1:2" x14ac:dyDescent="0.3">
      <c r="B977" t="s">
        <v>1002</v>
      </c>
    </row>
    <row r="978" spans="1:2" x14ac:dyDescent="0.3">
      <c r="A978" t="s">
        <v>233</v>
      </c>
      <c r="B978" t="s">
        <v>1002</v>
      </c>
    </row>
    <row r="979" spans="1:2" x14ac:dyDescent="0.3">
      <c r="A979" t="s">
        <v>167</v>
      </c>
      <c r="B979" t="s">
        <v>1002</v>
      </c>
    </row>
    <row r="980" spans="1:2" x14ac:dyDescent="0.3">
      <c r="B980" t="s">
        <v>1002</v>
      </c>
    </row>
    <row r="981" spans="1:2" x14ac:dyDescent="0.3">
      <c r="A981" t="s">
        <v>1004</v>
      </c>
      <c r="B981" t="s">
        <v>1005</v>
      </c>
    </row>
    <row r="982" spans="1:2" x14ac:dyDescent="0.3">
      <c r="A982" t="s">
        <v>1006</v>
      </c>
      <c r="B982" t="s">
        <v>1005</v>
      </c>
    </row>
    <row r="983" spans="1:2" x14ac:dyDescent="0.3">
      <c r="A983" t="s">
        <v>1007</v>
      </c>
      <c r="B983" t="s">
        <v>1005</v>
      </c>
    </row>
    <row r="984" spans="1:2" x14ac:dyDescent="0.3">
      <c r="A984" t="s">
        <v>1008</v>
      </c>
      <c r="B984" t="s">
        <v>1005</v>
      </c>
    </row>
    <row r="985" spans="1:2" x14ac:dyDescent="0.3">
      <c r="A985" t="s">
        <v>1009</v>
      </c>
      <c r="B985" t="s">
        <v>189</v>
      </c>
    </row>
    <row r="986" spans="1:2" x14ac:dyDescent="0.3">
      <c r="B986" t="s">
        <v>189</v>
      </c>
    </row>
    <row r="987" spans="1:2" x14ac:dyDescent="0.3">
      <c r="A987" t="s">
        <v>1010</v>
      </c>
      <c r="B987" t="s">
        <v>189</v>
      </c>
    </row>
    <row r="988" spans="1:2" x14ac:dyDescent="0.3">
      <c r="A988" t="s">
        <v>1011</v>
      </c>
      <c r="B988" t="s">
        <v>189</v>
      </c>
    </row>
    <row r="989" spans="1:2" x14ac:dyDescent="0.3">
      <c r="A989" t="s">
        <v>1012</v>
      </c>
      <c r="B989" t="s">
        <v>189</v>
      </c>
    </row>
    <row r="990" spans="1:2" x14ac:dyDescent="0.3">
      <c r="A990" t="s">
        <v>1013</v>
      </c>
      <c r="B990" t="s">
        <v>189</v>
      </c>
    </row>
    <row r="991" spans="1:2" x14ac:dyDescent="0.3">
      <c r="B991" t="s">
        <v>189</v>
      </c>
    </row>
    <row r="992" spans="1:2" x14ac:dyDescent="0.3">
      <c r="B992" t="s">
        <v>189</v>
      </c>
    </row>
    <row r="993" spans="1:2" x14ac:dyDescent="0.3">
      <c r="A993" t="s">
        <v>1014</v>
      </c>
      <c r="B993" t="s">
        <v>189</v>
      </c>
    </row>
    <row r="994" spans="1:2" x14ac:dyDescent="0.3">
      <c r="B994" t="s">
        <v>189</v>
      </c>
    </row>
    <row r="995" spans="1:2" x14ac:dyDescent="0.3">
      <c r="A995" t="s">
        <v>1015</v>
      </c>
      <c r="B995" t="s">
        <v>189</v>
      </c>
    </row>
    <row r="996" spans="1:2" x14ac:dyDescent="0.3">
      <c r="A996" t="s">
        <v>1016</v>
      </c>
      <c r="B996" t="s">
        <v>189</v>
      </c>
    </row>
    <row r="997" spans="1:2" x14ac:dyDescent="0.3">
      <c r="A997" t="s">
        <v>280</v>
      </c>
      <c r="B997" t="s">
        <v>282</v>
      </c>
    </row>
    <row r="998" spans="1:2" x14ac:dyDescent="0.3">
      <c r="A998" t="s">
        <v>1017</v>
      </c>
      <c r="B998" t="s">
        <v>282</v>
      </c>
    </row>
    <row r="999" spans="1:2" x14ac:dyDescent="0.3">
      <c r="B999" t="s">
        <v>282</v>
      </c>
    </row>
    <row r="1000" spans="1:2" x14ac:dyDescent="0.3">
      <c r="A1000" t="s">
        <v>1018</v>
      </c>
      <c r="B1000" t="s">
        <v>282</v>
      </c>
    </row>
    <row r="1001" spans="1:2" x14ac:dyDescent="0.3">
      <c r="A1001" t="s">
        <v>1019</v>
      </c>
      <c r="B1001" t="s">
        <v>282</v>
      </c>
    </row>
    <row r="1002" spans="1:2" x14ac:dyDescent="0.3">
      <c r="A1002" t="s">
        <v>1020</v>
      </c>
      <c r="B1002" t="s">
        <v>1021</v>
      </c>
    </row>
    <row r="1003" spans="1:2" x14ac:dyDescent="0.3">
      <c r="B1003" t="s">
        <v>1021</v>
      </c>
    </row>
    <row r="1004" spans="1:2" x14ac:dyDescent="0.3">
      <c r="A1004" t="s">
        <v>1022</v>
      </c>
      <c r="B1004" t="s">
        <v>896</v>
      </c>
    </row>
    <row r="1005" spans="1:2" x14ac:dyDescent="0.3">
      <c r="A1005" t="s">
        <v>1023</v>
      </c>
      <c r="B1005" t="s">
        <v>896</v>
      </c>
    </row>
    <row r="1006" spans="1:2" x14ac:dyDescent="0.3">
      <c r="A1006" t="s">
        <v>1024</v>
      </c>
      <c r="B1006" t="s">
        <v>896</v>
      </c>
    </row>
    <row r="1007" spans="1:2" x14ac:dyDescent="0.3">
      <c r="B1007" t="s">
        <v>896</v>
      </c>
    </row>
    <row r="1008" spans="1:2" x14ac:dyDescent="0.3">
      <c r="A1008" t="s">
        <v>1025</v>
      </c>
      <c r="B1008" t="s">
        <v>896</v>
      </c>
    </row>
    <row r="1009" spans="1:2" x14ac:dyDescent="0.3">
      <c r="A1009" t="s">
        <v>1026</v>
      </c>
      <c r="B1009" t="s">
        <v>896</v>
      </c>
    </row>
    <row r="1010" spans="1:2" x14ac:dyDescent="0.3">
      <c r="A1010" t="s">
        <v>1027</v>
      </c>
      <c r="B1010" t="s">
        <v>896</v>
      </c>
    </row>
    <row r="1011" spans="1:2" x14ac:dyDescent="0.3">
      <c r="A1011" t="s">
        <v>1028</v>
      </c>
      <c r="B1011" t="s">
        <v>896</v>
      </c>
    </row>
    <row r="1012" spans="1:2" x14ac:dyDescent="0.3">
      <c r="A1012" t="s">
        <v>1029</v>
      </c>
      <c r="B1012" t="s">
        <v>896</v>
      </c>
    </row>
    <row r="1013" spans="1:2" x14ac:dyDescent="0.3">
      <c r="B1013" t="s">
        <v>896</v>
      </c>
    </row>
    <row r="1014" spans="1:2" x14ac:dyDescent="0.3">
      <c r="A1014" t="s">
        <v>1030</v>
      </c>
      <c r="B1014" t="s">
        <v>896</v>
      </c>
    </row>
    <row r="1015" spans="1:2" x14ac:dyDescent="0.3">
      <c r="A1015" t="s">
        <v>1031</v>
      </c>
      <c r="B1015" t="s">
        <v>896</v>
      </c>
    </row>
    <row r="1016" spans="1:2" x14ac:dyDescent="0.3">
      <c r="A1016" t="s">
        <v>1032</v>
      </c>
      <c r="B1016" t="s">
        <v>896</v>
      </c>
    </row>
    <row r="1017" spans="1:2" x14ac:dyDescent="0.3">
      <c r="A1017" t="s">
        <v>1033</v>
      </c>
      <c r="B1017" t="s">
        <v>896</v>
      </c>
    </row>
    <row r="1018" spans="1:2" x14ac:dyDescent="0.3">
      <c r="B1018" t="s">
        <v>896</v>
      </c>
    </row>
    <row r="1019" spans="1:2" x14ac:dyDescent="0.3">
      <c r="A1019" t="s">
        <v>1034</v>
      </c>
      <c r="B1019" t="s">
        <v>896</v>
      </c>
    </row>
    <row r="1020" spans="1:2" x14ac:dyDescent="0.3">
      <c r="A1020" t="s">
        <v>1035</v>
      </c>
      <c r="B1020" t="s">
        <v>896</v>
      </c>
    </row>
    <row r="1021" spans="1:2" x14ac:dyDescent="0.3">
      <c r="A1021" t="s">
        <v>1036</v>
      </c>
      <c r="B1021" t="s">
        <v>896</v>
      </c>
    </row>
    <row r="1022" spans="1:2" x14ac:dyDescent="0.3">
      <c r="A1022" t="s">
        <v>1037</v>
      </c>
      <c r="B1022" t="s">
        <v>896</v>
      </c>
    </row>
    <row r="1023" spans="1:2" x14ac:dyDescent="0.3">
      <c r="A1023" t="s">
        <v>1038</v>
      </c>
      <c r="B1023" t="s">
        <v>896</v>
      </c>
    </row>
    <row r="1024" spans="1:2" x14ac:dyDescent="0.3">
      <c r="A1024" t="s">
        <v>1039</v>
      </c>
      <c r="B1024" t="s">
        <v>896</v>
      </c>
    </row>
    <row r="1025" spans="1:2" x14ac:dyDescent="0.3">
      <c r="A1025" t="s">
        <v>1040</v>
      </c>
      <c r="B1025" t="s">
        <v>896</v>
      </c>
    </row>
    <row r="1026" spans="1:2" x14ac:dyDescent="0.3">
      <c r="A1026" t="s">
        <v>1041</v>
      </c>
      <c r="B1026" t="s">
        <v>896</v>
      </c>
    </row>
    <row r="1027" spans="1:2" x14ac:dyDescent="0.3">
      <c r="A1027" t="s">
        <v>1042</v>
      </c>
      <c r="B1027" t="s">
        <v>896</v>
      </c>
    </row>
    <row r="1028" spans="1:2" x14ac:dyDescent="0.3">
      <c r="A1028" t="s">
        <v>1043</v>
      </c>
      <c r="B1028" t="s">
        <v>1044</v>
      </c>
    </row>
    <row r="1029" spans="1:2" x14ac:dyDescent="0.3">
      <c r="A1029" t="s">
        <v>1045</v>
      </c>
      <c r="B1029" t="s">
        <v>1044</v>
      </c>
    </row>
    <row r="1030" spans="1:2" x14ac:dyDescent="0.3">
      <c r="A1030" t="s">
        <v>1046</v>
      </c>
      <c r="B1030" t="s">
        <v>1044</v>
      </c>
    </row>
    <row r="1031" spans="1:2" x14ac:dyDescent="0.3">
      <c r="A1031" t="s">
        <v>1047</v>
      </c>
      <c r="B1031" t="s">
        <v>1044</v>
      </c>
    </row>
    <row r="1032" spans="1:2" x14ac:dyDescent="0.3">
      <c r="A1032" t="s">
        <v>1048</v>
      </c>
      <c r="B1032" t="s">
        <v>1044</v>
      </c>
    </row>
    <row r="1033" spans="1:2" x14ac:dyDescent="0.3">
      <c r="B1033" t="s">
        <v>1044</v>
      </c>
    </row>
    <row r="1034" spans="1:2" x14ac:dyDescent="0.3">
      <c r="A1034" t="s">
        <v>1049</v>
      </c>
      <c r="B1034" t="s">
        <v>1050</v>
      </c>
    </row>
    <row r="1035" spans="1:2" x14ac:dyDescent="0.3">
      <c r="A1035" t="s">
        <v>1051</v>
      </c>
      <c r="B1035" t="s">
        <v>181</v>
      </c>
    </row>
    <row r="1036" spans="1:2" x14ac:dyDescent="0.3">
      <c r="A1036" t="s">
        <v>1052</v>
      </c>
      <c r="B1036" t="s">
        <v>181</v>
      </c>
    </row>
    <row r="1037" spans="1:2" x14ac:dyDescent="0.3">
      <c r="A1037" t="s">
        <v>1053</v>
      </c>
      <c r="B1037" t="s">
        <v>181</v>
      </c>
    </row>
    <row r="1038" spans="1:2" x14ac:dyDescent="0.3">
      <c r="A1038" t="s">
        <v>1054</v>
      </c>
      <c r="B1038" t="s">
        <v>181</v>
      </c>
    </row>
    <row r="1039" spans="1:2" x14ac:dyDescent="0.3">
      <c r="A1039" t="s">
        <v>1055</v>
      </c>
      <c r="B1039" t="s">
        <v>181</v>
      </c>
    </row>
    <row r="1040" spans="1:2" x14ac:dyDescent="0.3">
      <c r="A1040" t="s">
        <v>1056</v>
      </c>
      <c r="B1040" t="s">
        <v>181</v>
      </c>
    </row>
    <row r="1041" spans="1:2" x14ac:dyDescent="0.3">
      <c r="A1041" t="s">
        <v>1057</v>
      </c>
      <c r="B1041" t="s">
        <v>181</v>
      </c>
    </row>
    <row r="1042" spans="1:2" x14ac:dyDescent="0.3">
      <c r="A1042" t="s">
        <v>1058</v>
      </c>
      <c r="B1042" t="s">
        <v>181</v>
      </c>
    </row>
    <row r="1043" spans="1:2" x14ac:dyDescent="0.3">
      <c r="A1043" t="s">
        <v>157</v>
      </c>
      <c r="B1043" t="s">
        <v>1059</v>
      </c>
    </row>
    <row r="1044" spans="1:2" x14ac:dyDescent="0.3">
      <c r="B1044" t="s">
        <v>1060</v>
      </c>
    </row>
    <row r="1045" spans="1:2" x14ac:dyDescent="0.3">
      <c r="A1045" t="s">
        <v>1061</v>
      </c>
      <c r="B1045" t="s">
        <v>1062</v>
      </c>
    </row>
    <row r="1046" spans="1:2" x14ac:dyDescent="0.3">
      <c r="A1046" t="s">
        <v>158</v>
      </c>
      <c r="B1046" t="s">
        <v>1062</v>
      </c>
    </row>
    <row r="1047" spans="1:2" x14ac:dyDescent="0.3">
      <c r="A1047" t="s">
        <v>1063</v>
      </c>
      <c r="B1047" t="s">
        <v>261</v>
      </c>
    </row>
    <row r="1048" spans="1:2" x14ac:dyDescent="0.3">
      <c r="A1048" t="s">
        <v>1064</v>
      </c>
      <c r="B1048" t="s">
        <v>261</v>
      </c>
    </row>
    <row r="1049" spans="1:2" x14ac:dyDescent="0.3">
      <c r="A1049" t="s">
        <v>1065</v>
      </c>
      <c r="B1049" t="s">
        <v>261</v>
      </c>
    </row>
    <row r="1050" spans="1:2" x14ac:dyDescent="0.3">
      <c r="B1050" t="s">
        <v>261</v>
      </c>
    </row>
    <row r="1051" spans="1:2" x14ac:dyDescent="0.3">
      <c r="A1051" t="s">
        <v>1066</v>
      </c>
      <c r="B1051" t="s">
        <v>261</v>
      </c>
    </row>
    <row r="1052" spans="1:2" x14ac:dyDescent="0.3">
      <c r="A1052" t="s">
        <v>1067</v>
      </c>
      <c r="B1052" t="s">
        <v>261</v>
      </c>
    </row>
    <row r="1053" spans="1:2" x14ac:dyDescent="0.3">
      <c r="A1053" t="s">
        <v>1068</v>
      </c>
      <c r="B1053" t="s">
        <v>261</v>
      </c>
    </row>
    <row r="1054" spans="1:2" x14ac:dyDescent="0.3">
      <c r="B1054" t="s">
        <v>261</v>
      </c>
    </row>
    <row r="1055" spans="1:2" x14ac:dyDescent="0.3">
      <c r="A1055" t="s">
        <v>1069</v>
      </c>
      <c r="B1055" t="s">
        <v>261</v>
      </c>
    </row>
    <row r="1056" spans="1:2" x14ac:dyDescent="0.3">
      <c r="A1056" t="s">
        <v>146</v>
      </c>
      <c r="B1056" t="s">
        <v>261</v>
      </c>
    </row>
    <row r="1057" spans="1:2" x14ac:dyDescent="0.3">
      <c r="A1057" t="s">
        <v>1070</v>
      </c>
      <c r="B1057" t="s">
        <v>261</v>
      </c>
    </row>
    <row r="1058" spans="1:2" x14ac:dyDescent="0.3">
      <c r="A1058" t="s">
        <v>1071</v>
      </c>
      <c r="B1058" t="s">
        <v>261</v>
      </c>
    </row>
    <row r="1059" spans="1:2" x14ac:dyDescent="0.3">
      <c r="A1059" t="s">
        <v>1072</v>
      </c>
      <c r="B1059" t="s">
        <v>261</v>
      </c>
    </row>
    <row r="1060" spans="1:2" x14ac:dyDescent="0.3">
      <c r="A1060" t="s">
        <v>1073</v>
      </c>
      <c r="B1060" t="s">
        <v>261</v>
      </c>
    </row>
    <row r="1061" spans="1:2" x14ac:dyDescent="0.3">
      <c r="A1061" t="s">
        <v>1074</v>
      </c>
      <c r="B1061" t="s">
        <v>261</v>
      </c>
    </row>
    <row r="1062" spans="1:2" x14ac:dyDescent="0.3">
      <c r="A1062" t="s">
        <v>1075</v>
      </c>
      <c r="B1062" t="s">
        <v>261</v>
      </c>
    </row>
    <row r="1063" spans="1:2" x14ac:dyDescent="0.3">
      <c r="A1063" t="s">
        <v>1076</v>
      </c>
      <c r="B1063" t="s">
        <v>259</v>
      </c>
    </row>
    <row r="1064" spans="1:2" x14ac:dyDescent="0.3">
      <c r="A1064" t="s">
        <v>1077</v>
      </c>
      <c r="B1064" t="s">
        <v>259</v>
      </c>
    </row>
    <row r="1065" spans="1:2" x14ac:dyDescent="0.3">
      <c r="A1065" t="s">
        <v>1078</v>
      </c>
      <c r="B1065" t="s">
        <v>259</v>
      </c>
    </row>
    <row r="1066" spans="1:2" x14ac:dyDescent="0.3">
      <c r="A1066" t="s">
        <v>143</v>
      </c>
      <c r="B1066" t="s">
        <v>259</v>
      </c>
    </row>
    <row r="1067" spans="1:2" x14ac:dyDescent="0.3">
      <c r="A1067" t="s">
        <v>1079</v>
      </c>
      <c r="B1067" t="s">
        <v>259</v>
      </c>
    </row>
    <row r="1068" spans="1:2" x14ac:dyDescent="0.3">
      <c r="A1068" t="s">
        <v>1080</v>
      </c>
      <c r="B1068" t="s">
        <v>259</v>
      </c>
    </row>
    <row r="1069" spans="1:2" x14ac:dyDescent="0.3">
      <c r="A1069" t="s">
        <v>1081</v>
      </c>
      <c r="B1069" t="s">
        <v>259</v>
      </c>
    </row>
    <row r="1070" spans="1:2" x14ac:dyDescent="0.3">
      <c r="A1070" t="s">
        <v>1082</v>
      </c>
      <c r="B1070" t="s">
        <v>259</v>
      </c>
    </row>
    <row r="1071" spans="1:2" x14ac:dyDescent="0.3">
      <c r="A1071" t="s">
        <v>1083</v>
      </c>
      <c r="B1071" t="s">
        <v>1084</v>
      </c>
    </row>
    <row r="1072" spans="1:2" x14ac:dyDescent="0.3">
      <c r="A1072" t="s">
        <v>1085</v>
      </c>
      <c r="B1072" t="s">
        <v>1084</v>
      </c>
    </row>
    <row r="1073" spans="1:2" x14ac:dyDescent="0.3">
      <c r="A1073" t="s">
        <v>1086</v>
      </c>
      <c r="B1073" t="s">
        <v>1084</v>
      </c>
    </row>
    <row r="1074" spans="1:2" x14ac:dyDescent="0.3">
      <c r="A1074" t="s">
        <v>1087</v>
      </c>
      <c r="B1074" t="s">
        <v>1084</v>
      </c>
    </row>
    <row r="1075" spans="1:2" x14ac:dyDescent="0.3">
      <c r="A1075" t="s">
        <v>1088</v>
      </c>
      <c r="B1075" t="s">
        <v>1084</v>
      </c>
    </row>
    <row r="1076" spans="1:2" x14ac:dyDescent="0.3">
      <c r="A1076" t="s">
        <v>1089</v>
      </c>
      <c r="B1076" t="s">
        <v>1084</v>
      </c>
    </row>
    <row r="1077" spans="1:2" x14ac:dyDescent="0.3">
      <c r="A1077" t="s">
        <v>1090</v>
      </c>
      <c r="B1077" t="s">
        <v>1084</v>
      </c>
    </row>
    <row r="1078" spans="1:2" x14ac:dyDescent="0.3">
      <c r="A1078" t="s">
        <v>1091</v>
      </c>
      <c r="B1078" t="s">
        <v>1084</v>
      </c>
    </row>
    <row r="1079" spans="1:2" x14ac:dyDescent="0.3">
      <c r="A1079" t="s">
        <v>1092</v>
      </c>
      <c r="B1079" t="s">
        <v>1084</v>
      </c>
    </row>
    <row r="1080" spans="1:2" x14ac:dyDescent="0.3">
      <c r="B1080" t="s">
        <v>1084</v>
      </c>
    </row>
    <row r="1081" spans="1:2" x14ac:dyDescent="0.3">
      <c r="A1081" t="s">
        <v>1093</v>
      </c>
      <c r="B1081" t="s">
        <v>904</v>
      </c>
    </row>
    <row r="1082" spans="1:2" x14ac:dyDescent="0.3">
      <c r="A1082" t="s">
        <v>1094</v>
      </c>
      <c r="B1082" t="s">
        <v>904</v>
      </c>
    </row>
    <row r="1083" spans="1:2" x14ac:dyDescent="0.3">
      <c r="A1083" t="s">
        <v>1095</v>
      </c>
      <c r="B1083" t="s">
        <v>904</v>
      </c>
    </row>
    <row r="1084" spans="1:2" x14ac:dyDescent="0.3">
      <c r="A1084" t="s">
        <v>1096</v>
      </c>
      <c r="B1084" t="s">
        <v>1097</v>
      </c>
    </row>
    <row r="1085" spans="1:2" x14ac:dyDescent="0.3">
      <c r="A1085" t="s">
        <v>1098</v>
      </c>
      <c r="B1085" t="s">
        <v>1097</v>
      </c>
    </row>
    <row r="1086" spans="1:2" x14ac:dyDescent="0.3">
      <c r="A1086" t="s">
        <v>1099</v>
      </c>
      <c r="B1086" t="s">
        <v>1097</v>
      </c>
    </row>
    <row r="1087" spans="1:2" x14ac:dyDescent="0.3">
      <c r="A1087" t="s">
        <v>1100</v>
      </c>
      <c r="B1087" t="s">
        <v>1097</v>
      </c>
    </row>
    <row r="1088" spans="1:2" x14ac:dyDescent="0.3">
      <c r="A1088" t="s">
        <v>1101</v>
      </c>
      <c r="B1088" t="s">
        <v>1097</v>
      </c>
    </row>
    <row r="1089" spans="1:2" x14ac:dyDescent="0.3">
      <c r="A1089" t="s">
        <v>212</v>
      </c>
      <c r="B1089" t="s">
        <v>244</v>
      </c>
    </row>
    <row r="1090" spans="1:2" x14ac:dyDescent="0.3">
      <c r="B1090" t="s">
        <v>244</v>
      </c>
    </row>
    <row r="1091" spans="1:2" x14ac:dyDescent="0.3">
      <c r="A1091" t="s">
        <v>1102</v>
      </c>
      <c r="B1091" t="s">
        <v>244</v>
      </c>
    </row>
    <row r="1092" spans="1:2" x14ac:dyDescent="0.3">
      <c r="A1092" t="s">
        <v>1103</v>
      </c>
      <c r="B1092" t="s">
        <v>244</v>
      </c>
    </row>
    <row r="1093" spans="1:2" x14ac:dyDescent="0.3">
      <c r="A1093" t="s">
        <v>1104</v>
      </c>
      <c r="B1093" t="s">
        <v>244</v>
      </c>
    </row>
    <row r="1094" spans="1:2" x14ac:dyDescent="0.3">
      <c r="A1094" t="s">
        <v>1105</v>
      </c>
      <c r="B1094" t="s">
        <v>244</v>
      </c>
    </row>
    <row r="1095" spans="1:2" x14ac:dyDescent="0.3">
      <c r="A1095" t="s">
        <v>1050</v>
      </c>
      <c r="B1095" t="s">
        <v>244</v>
      </c>
    </row>
    <row r="1096" spans="1:2" x14ac:dyDescent="0.3">
      <c r="A1096" t="s">
        <v>1106</v>
      </c>
      <c r="B1096" t="s">
        <v>244</v>
      </c>
    </row>
    <row r="1097" spans="1:2" x14ac:dyDescent="0.3">
      <c r="B1097" t="s">
        <v>1107</v>
      </c>
    </row>
    <row r="1098" spans="1:2" x14ac:dyDescent="0.3">
      <c r="A1098" t="s">
        <v>1108</v>
      </c>
      <c r="B1098" t="s">
        <v>244</v>
      </c>
    </row>
    <row r="1099" spans="1:2" x14ac:dyDescent="0.3">
      <c r="A1099" t="s">
        <v>1109</v>
      </c>
      <c r="B1099" t="s">
        <v>244</v>
      </c>
    </row>
    <row r="1100" spans="1:2" x14ac:dyDescent="0.3">
      <c r="A1100" t="s">
        <v>1110</v>
      </c>
      <c r="B1100" t="s">
        <v>244</v>
      </c>
    </row>
    <row r="1101" spans="1:2" x14ac:dyDescent="0.3">
      <c r="A1101" t="s">
        <v>1111</v>
      </c>
      <c r="B1101" t="s">
        <v>244</v>
      </c>
    </row>
    <row r="1102" spans="1:2" x14ac:dyDescent="0.3">
      <c r="A1102" t="s">
        <v>1112</v>
      </c>
      <c r="B1102" t="s">
        <v>1113</v>
      </c>
    </row>
    <row r="1103" spans="1:2" x14ac:dyDescent="0.3">
      <c r="A1103" t="s">
        <v>1114</v>
      </c>
      <c r="B1103" t="s">
        <v>1115</v>
      </c>
    </row>
    <row r="1104" spans="1:2" x14ac:dyDescent="0.3">
      <c r="A1104" t="s">
        <v>1116</v>
      </c>
      <c r="B1104" t="s">
        <v>1115</v>
      </c>
    </row>
    <row r="1105" spans="1:2" x14ac:dyDescent="0.3">
      <c r="A1105" t="s">
        <v>1117</v>
      </c>
      <c r="B1105" t="s">
        <v>1115</v>
      </c>
    </row>
    <row r="1106" spans="1:2" x14ac:dyDescent="0.3">
      <c r="A1106" t="s">
        <v>1118</v>
      </c>
      <c r="B1106" t="s">
        <v>1</v>
      </c>
    </row>
    <row r="1107" spans="1:2" x14ac:dyDescent="0.3">
      <c r="A1107" t="s">
        <v>1119</v>
      </c>
      <c r="B1107" t="s">
        <v>164</v>
      </c>
    </row>
    <row r="1108" spans="1:2" x14ac:dyDescent="0.3">
      <c r="A1108" t="s">
        <v>1120</v>
      </c>
      <c r="B1108" t="s">
        <v>164</v>
      </c>
    </row>
    <row r="1109" spans="1:2" x14ac:dyDescent="0.3">
      <c r="A1109" t="s">
        <v>238</v>
      </c>
      <c r="B1109" t="s">
        <v>164</v>
      </c>
    </row>
    <row r="1110" spans="1:2" x14ac:dyDescent="0.3">
      <c r="B1110" t="s">
        <v>164</v>
      </c>
    </row>
    <row r="1111" spans="1:2" x14ac:dyDescent="0.3">
      <c r="A1111" t="s">
        <v>1121</v>
      </c>
      <c r="B1111" t="s">
        <v>164</v>
      </c>
    </row>
    <row r="1112" spans="1:2" x14ac:dyDescent="0.3">
      <c r="A1112" t="s">
        <v>1122</v>
      </c>
      <c r="B1112" t="s">
        <v>164</v>
      </c>
    </row>
    <row r="1113" spans="1:2" x14ac:dyDescent="0.3">
      <c r="A1113" t="s">
        <v>1123</v>
      </c>
      <c r="B1113" t="s">
        <v>164</v>
      </c>
    </row>
    <row r="1114" spans="1:2" x14ac:dyDescent="0.3">
      <c r="A1114" t="s">
        <v>1124</v>
      </c>
      <c r="B1114" t="s">
        <v>164</v>
      </c>
    </row>
    <row r="1115" spans="1:2" x14ac:dyDescent="0.3">
      <c r="A1115" t="s">
        <v>1125</v>
      </c>
      <c r="B1115" t="s">
        <v>164</v>
      </c>
    </row>
    <row r="1116" spans="1:2" x14ac:dyDescent="0.3">
      <c r="A1116" t="s">
        <v>1126</v>
      </c>
      <c r="B1116" t="s">
        <v>164</v>
      </c>
    </row>
    <row r="1117" spans="1:2" x14ac:dyDescent="0.3">
      <c r="A1117" t="s">
        <v>1127</v>
      </c>
      <c r="B1117" t="s">
        <v>164</v>
      </c>
    </row>
    <row r="1118" spans="1:2" x14ac:dyDescent="0.3">
      <c r="A1118" t="s">
        <v>1128</v>
      </c>
      <c r="B1118" t="s">
        <v>164</v>
      </c>
    </row>
    <row r="1119" spans="1:2" x14ac:dyDescent="0.3">
      <c r="A1119" t="s">
        <v>1129</v>
      </c>
      <c r="B1119" t="s">
        <v>249</v>
      </c>
    </row>
    <row r="1120" spans="1:2" x14ac:dyDescent="0.3">
      <c r="B1120" t="s">
        <v>249</v>
      </c>
    </row>
    <row r="1121" spans="1:2" x14ac:dyDescent="0.3">
      <c r="A1121" t="s">
        <v>1130</v>
      </c>
      <c r="B1121" t="s">
        <v>249</v>
      </c>
    </row>
    <row r="1122" spans="1:2" x14ac:dyDescent="0.3">
      <c r="A1122" t="s">
        <v>1131</v>
      </c>
      <c r="B1122" t="s">
        <v>249</v>
      </c>
    </row>
    <row r="1123" spans="1:2" x14ac:dyDescent="0.3">
      <c r="A1123" t="s">
        <v>1132</v>
      </c>
      <c r="B1123" t="s">
        <v>1</v>
      </c>
    </row>
    <row r="1124" spans="1:2" x14ac:dyDescent="0.3">
      <c r="A1124" t="s">
        <v>1133</v>
      </c>
      <c r="B1124" t="s">
        <v>249</v>
      </c>
    </row>
    <row r="1125" spans="1:2" x14ac:dyDescent="0.3">
      <c r="A1125" t="s">
        <v>1134</v>
      </c>
      <c r="B1125" t="s">
        <v>249</v>
      </c>
    </row>
    <row r="1126" spans="1:2" x14ac:dyDescent="0.3">
      <c r="A1126" t="s">
        <v>1135</v>
      </c>
      <c r="B1126" t="s">
        <v>249</v>
      </c>
    </row>
    <row r="1127" spans="1:2" x14ac:dyDescent="0.3">
      <c r="B1127" t="s">
        <v>249</v>
      </c>
    </row>
    <row r="1128" spans="1:2" x14ac:dyDescent="0.3">
      <c r="A1128" t="s">
        <v>1136</v>
      </c>
      <c r="B1128" t="s">
        <v>249</v>
      </c>
    </row>
    <row r="1129" spans="1:2" x14ac:dyDescent="0.3">
      <c r="B1129" t="s">
        <v>249</v>
      </c>
    </row>
    <row r="1130" spans="1:2" x14ac:dyDescent="0.3">
      <c r="A1130" t="s">
        <v>1137</v>
      </c>
      <c r="B1130" t="s">
        <v>249</v>
      </c>
    </row>
    <row r="1131" spans="1:2" x14ac:dyDescent="0.3">
      <c r="B1131" t="s">
        <v>1138</v>
      </c>
    </row>
    <row r="1132" spans="1:2" x14ac:dyDescent="0.3">
      <c r="B1132" t="s">
        <v>1138</v>
      </c>
    </row>
    <row r="1133" spans="1:2" x14ac:dyDescent="0.3">
      <c r="A1133" t="s">
        <v>1139</v>
      </c>
      <c r="B1133" t="s">
        <v>1138</v>
      </c>
    </row>
    <row r="1134" spans="1:2" x14ac:dyDescent="0.3">
      <c r="A1134" t="s">
        <v>1140</v>
      </c>
      <c r="B1134" t="s">
        <v>1138</v>
      </c>
    </row>
    <row r="1135" spans="1:2" x14ac:dyDescent="0.3">
      <c r="A1135" t="s">
        <v>514</v>
      </c>
      <c r="B1135" t="s">
        <v>1138</v>
      </c>
    </row>
    <row r="1136" spans="1:2" x14ac:dyDescent="0.3">
      <c r="A1136" t="s">
        <v>1141</v>
      </c>
      <c r="B1136" t="s">
        <v>1138</v>
      </c>
    </row>
    <row r="1137" spans="1:2" x14ac:dyDescent="0.3">
      <c r="A1137" t="s">
        <v>1142</v>
      </c>
      <c r="B1137" t="s">
        <v>1138</v>
      </c>
    </row>
    <row r="1138" spans="1:2" x14ac:dyDescent="0.3">
      <c r="B1138" t="s">
        <v>1138</v>
      </c>
    </row>
    <row r="1139" spans="1:2" x14ac:dyDescent="0.3">
      <c r="B1139" t="s">
        <v>1138</v>
      </c>
    </row>
    <row r="1140" spans="1:2" x14ac:dyDescent="0.3">
      <c r="B1140" t="s">
        <v>1138</v>
      </c>
    </row>
    <row r="1141" spans="1:2" x14ac:dyDescent="0.3">
      <c r="B1141" t="s">
        <v>1138</v>
      </c>
    </row>
    <row r="1142" spans="1:2" x14ac:dyDescent="0.3">
      <c r="A1142" t="s">
        <v>1143</v>
      </c>
      <c r="B1142" t="s">
        <v>1138</v>
      </c>
    </row>
    <row r="1143" spans="1:2" x14ac:dyDescent="0.3">
      <c r="B1143" t="s">
        <v>1138</v>
      </c>
    </row>
    <row r="1144" spans="1:2" x14ac:dyDescent="0.3">
      <c r="A1144" t="s">
        <v>1144</v>
      </c>
      <c r="B1144" t="s">
        <v>248</v>
      </c>
    </row>
    <row r="1145" spans="1:2" x14ac:dyDescent="0.3">
      <c r="A1145" t="s">
        <v>240</v>
      </c>
      <c r="B1145" t="s">
        <v>248</v>
      </c>
    </row>
    <row r="1146" spans="1:2" x14ac:dyDescent="0.3">
      <c r="A1146" t="s">
        <v>1145</v>
      </c>
      <c r="B1146" t="s">
        <v>248</v>
      </c>
    </row>
    <row r="1147" spans="1:2" x14ac:dyDescent="0.3">
      <c r="A1147" t="s">
        <v>1146</v>
      </c>
      <c r="B1147" t="s">
        <v>247</v>
      </c>
    </row>
    <row r="1148" spans="1:2" x14ac:dyDescent="0.3">
      <c r="B1148" t="s">
        <v>247</v>
      </c>
    </row>
    <row r="1149" spans="1:2" x14ac:dyDescent="0.3">
      <c r="A1149" t="s">
        <v>1147</v>
      </c>
      <c r="B1149" t="s">
        <v>247</v>
      </c>
    </row>
    <row r="1150" spans="1:2" x14ac:dyDescent="0.3">
      <c r="A1150" t="s">
        <v>1148</v>
      </c>
      <c r="B1150" t="s">
        <v>247</v>
      </c>
    </row>
    <row r="1151" spans="1:2" x14ac:dyDescent="0.3">
      <c r="B1151" t="s">
        <v>247</v>
      </c>
    </row>
    <row r="1152" spans="1:2" x14ac:dyDescent="0.3">
      <c r="A1152" t="s">
        <v>1149</v>
      </c>
      <c r="B1152" t="s">
        <v>247</v>
      </c>
    </row>
    <row r="1153" spans="1:2" x14ac:dyDescent="0.3">
      <c r="A1153" t="s">
        <v>241</v>
      </c>
      <c r="B1153" t="s">
        <v>247</v>
      </c>
    </row>
    <row r="1154" spans="1:2" x14ac:dyDescent="0.3">
      <c r="A1154" t="s">
        <v>1150</v>
      </c>
      <c r="B1154" t="s">
        <v>247</v>
      </c>
    </row>
    <row r="1155" spans="1:2" x14ac:dyDescent="0.3">
      <c r="A1155" t="s">
        <v>1151</v>
      </c>
      <c r="B1155" t="s">
        <v>247</v>
      </c>
    </row>
    <row r="1156" spans="1:2" x14ac:dyDescent="0.3">
      <c r="A1156" t="s">
        <v>1152</v>
      </c>
      <c r="B1156" t="s">
        <v>245</v>
      </c>
    </row>
    <row r="1157" spans="1:2" x14ac:dyDescent="0.3">
      <c r="A1157" t="s">
        <v>243</v>
      </c>
      <c r="B1157" t="s">
        <v>245</v>
      </c>
    </row>
    <row r="1158" spans="1:2" x14ac:dyDescent="0.3">
      <c r="A1158" t="s">
        <v>1153</v>
      </c>
      <c r="B1158" t="s">
        <v>245</v>
      </c>
    </row>
    <row r="1159" spans="1:2" x14ac:dyDescent="0.3">
      <c r="A1159" t="s">
        <v>1154</v>
      </c>
      <c r="B1159" t="s">
        <v>245</v>
      </c>
    </row>
    <row r="1160" spans="1:2" x14ac:dyDescent="0.3">
      <c r="A1160" t="s">
        <v>242</v>
      </c>
      <c r="B1160" t="s">
        <v>245</v>
      </c>
    </row>
    <row r="1161" spans="1:2" x14ac:dyDescent="0.3">
      <c r="A1161" t="s">
        <v>1155</v>
      </c>
      <c r="B1161" t="s">
        <v>245</v>
      </c>
    </row>
    <row r="1162" spans="1:2" x14ac:dyDescent="0.3">
      <c r="A1162" t="s">
        <v>1156</v>
      </c>
      <c r="B1162" t="s">
        <v>245</v>
      </c>
    </row>
    <row r="1163" spans="1:2" x14ac:dyDescent="0.3">
      <c r="A1163" t="s">
        <v>1157</v>
      </c>
      <c r="B1163" t="s">
        <v>245</v>
      </c>
    </row>
    <row r="1164" spans="1:2" x14ac:dyDescent="0.3">
      <c r="A1164" t="s">
        <v>1158</v>
      </c>
      <c r="B1164" t="s">
        <v>245</v>
      </c>
    </row>
    <row r="1165" spans="1:2" x14ac:dyDescent="0.3">
      <c r="A1165" t="s">
        <v>1159</v>
      </c>
      <c r="B1165" t="s">
        <v>245</v>
      </c>
    </row>
    <row r="1166" spans="1:2" x14ac:dyDescent="0.3">
      <c r="A1166" t="s">
        <v>1160</v>
      </c>
      <c r="B1166" t="s">
        <v>245</v>
      </c>
    </row>
    <row r="1167" spans="1:2" x14ac:dyDescent="0.3">
      <c r="A1167" t="s">
        <v>236</v>
      </c>
      <c r="B1167" t="s">
        <v>246</v>
      </c>
    </row>
    <row r="1168" spans="1:2" x14ac:dyDescent="0.3">
      <c r="A1168" t="s">
        <v>1161</v>
      </c>
      <c r="B1168" t="s">
        <v>72</v>
      </c>
    </row>
    <row r="1169" spans="1:2" x14ac:dyDescent="0.3">
      <c r="A1169" t="s">
        <v>1162</v>
      </c>
      <c r="B1169" t="s">
        <v>246</v>
      </c>
    </row>
    <row r="1170" spans="1:2" x14ac:dyDescent="0.3">
      <c r="A1170" t="s">
        <v>1163</v>
      </c>
      <c r="B1170" t="s">
        <v>1164</v>
      </c>
    </row>
    <row r="1171" spans="1:2" x14ac:dyDescent="0.3">
      <c r="A1171" t="s">
        <v>1165</v>
      </c>
      <c r="B1171" t="s">
        <v>1166</v>
      </c>
    </row>
    <row r="1172" spans="1:2" x14ac:dyDescent="0.3">
      <c r="A1172" t="s">
        <v>1167</v>
      </c>
      <c r="B1172" t="s">
        <v>1166</v>
      </c>
    </row>
    <row r="1173" spans="1:2" x14ac:dyDescent="0.3">
      <c r="A1173" t="s">
        <v>1168</v>
      </c>
      <c r="B1173" t="s">
        <v>1166</v>
      </c>
    </row>
    <row r="1174" spans="1:2" x14ac:dyDescent="0.3">
      <c r="A1174" t="s">
        <v>1169</v>
      </c>
      <c r="B1174" t="s">
        <v>1166</v>
      </c>
    </row>
    <row r="1175" spans="1:2" x14ac:dyDescent="0.3">
      <c r="B1175" t="s">
        <v>1166</v>
      </c>
    </row>
    <row r="1176" spans="1:2" x14ac:dyDescent="0.3">
      <c r="A1176" t="s">
        <v>1170</v>
      </c>
      <c r="B1176" t="s">
        <v>1166</v>
      </c>
    </row>
    <row r="1177" spans="1:2" x14ac:dyDescent="0.3">
      <c r="A1177" t="s">
        <v>1171</v>
      </c>
      <c r="B1177" t="s">
        <v>1172</v>
      </c>
    </row>
    <row r="1178" spans="1:2" x14ac:dyDescent="0.3">
      <c r="A1178" t="s">
        <v>1173</v>
      </c>
      <c r="B1178" t="s">
        <v>1172</v>
      </c>
    </row>
    <row r="1179" spans="1:2" x14ac:dyDescent="0.3">
      <c r="A1179" t="s">
        <v>1174</v>
      </c>
      <c r="B1179" t="s">
        <v>1172</v>
      </c>
    </row>
    <row r="1180" spans="1:2" x14ac:dyDescent="0.3">
      <c r="A1180" t="s">
        <v>1175</v>
      </c>
      <c r="B1180" t="s">
        <v>1176</v>
      </c>
    </row>
    <row r="1181" spans="1:2" x14ac:dyDescent="0.3">
      <c r="B1181" t="s">
        <v>1176</v>
      </c>
    </row>
    <row r="1182" spans="1:2" x14ac:dyDescent="0.3">
      <c r="A1182" t="s">
        <v>1177</v>
      </c>
      <c r="B1182" t="s">
        <v>1176</v>
      </c>
    </row>
    <row r="1183" spans="1:2" x14ac:dyDescent="0.3">
      <c r="A1183" t="s">
        <v>1178</v>
      </c>
      <c r="B1183" t="s">
        <v>1176</v>
      </c>
    </row>
    <row r="1184" spans="1:2" x14ac:dyDescent="0.3">
      <c r="B1184" t="s">
        <v>1176</v>
      </c>
    </row>
    <row r="1185" spans="1:2" x14ac:dyDescent="0.3">
      <c r="A1185" t="s">
        <v>1179</v>
      </c>
      <c r="B1185" t="s">
        <v>1176</v>
      </c>
    </row>
    <row r="1186" spans="1:2" x14ac:dyDescent="0.3">
      <c r="A1186" t="s">
        <v>1180</v>
      </c>
      <c r="B1186" t="s">
        <v>1176</v>
      </c>
    </row>
    <row r="1187" spans="1:2" x14ac:dyDescent="0.3">
      <c r="B1187" t="s">
        <v>1176</v>
      </c>
    </row>
    <row r="1188" spans="1:2" x14ac:dyDescent="0.3">
      <c r="A1188" t="s">
        <v>1181</v>
      </c>
      <c r="B1188" t="s">
        <v>1176</v>
      </c>
    </row>
    <row r="1189" spans="1:2" x14ac:dyDescent="0.3">
      <c r="A1189" t="s">
        <v>1182</v>
      </c>
      <c r="B1189" t="s">
        <v>1176</v>
      </c>
    </row>
    <row r="1190" spans="1:2" x14ac:dyDescent="0.3">
      <c r="B1190" t="s">
        <v>1176</v>
      </c>
    </row>
    <row r="1191" spans="1:2" x14ac:dyDescent="0.3">
      <c r="B1191" t="s">
        <v>181</v>
      </c>
    </row>
    <row r="1192" spans="1:2" x14ac:dyDescent="0.3">
      <c r="A1192" t="s">
        <v>1183</v>
      </c>
      <c r="B1192" t="s">
        <v>181</v>
      </c>
    </row>
    <row r="1193" spans="1:2" x14ac:dyDescent="0.3">
      <c r="A1193" t="s">
        <v>1184</v>
      </c>
      <c r="B1193" t="s">
        <v>181</v>
      </c>
    </row>
    <row r="1194" spans="1:2" x14ac:dyDescent="0.3">
      <c r="A1194" t="s">
        <v>1185</v>
      </c>
      <c r="B1194" t="s">
        <v>181</v>
      </c>
    </row>
    <row r="1195" spans="1:2" x14ac:dyDescent="0.3">
      <c r="A1195" t="s">
        <v>1186</v>
      </c>
      <c r="B1195" t="s">
        <v>181</v>
      </c>
    </row>
    <row r="1196" spans="1:2" x14ac:dyDescent="0.3">
      <c r="A1196" t="s">
        <v>1187</v>
      </c>
      <c r="B1196" t="s">
        <v>181</v>
      </c>
    </row>
    <row r="1197" spans="1:2" x14ac:dyDescent="0.3">
      <c r="A1197" t="s">
        <v>1188</v>
      </c>
      <c r="B1197" t="s">
        <v>181</v>
      </c>
    </row>
    <row r="1198" spans="1:2" x14ac:dyDescent="0.3">
      <c r="A1198" t="s">
        <v>1189</v>
      </c>
      <c r="B1198" t="s">
        <v>181</v>
      </c>
    </row>
    <row r="1199" spans="1:2" x14ac:dyDescent="0.3">
      <c r="A1199" t="s">
        <v>1190</v>
      </c>
      <c r="B1199" t="s">
        <v>181</v>
      </c>
    </row>
    <row r="1200" spans="1:2" x14ac:dyDescent="0.3">
      <c r="B1200" t="s">
        <v>181</v>
      </c>
    </row>
    <row r="1201" spans="1:2" x14ac:dyDescent="0.3">
      <c r="A1201" t="s">
        <v>1191</v>
      </c>
      <c r="B1201" t="s">
        <v>181</v>
      </c>
    </row>
    <row r="1202" spans="1:2" x14ac:dyDescent="0.3">
      <c r="A1202" t="s">
        <v>1192</v>
      </c>
      <c r="B1202" t="s">
        <v>181</v>
      </c>
    </row>
    <row r="1203" spans="1:2" x14ac:dyDescent="0.3">
      <c r="B1203" t="s">
        <v>181</v>
      </c>
    </row>
    <row r="1204" spans="1:2" x14ac:dyDescent="0.3">
      <c r="A1204" t="s">
        <v>1193</v>
      </c>
      <c r="B1204" t="s">
        <v>181</v>
      </c>
    </row>
    <row r="1205" spans="1:2" x14ac:dyDescent="0.3">
      <c r="A1205" t="s">
        <v>1194</v>
      </c>
      <c r="B1205" t="s">
        <v>181</v>
      </c>
    </row>
    <row r="1206" spans="1:2" x14ac:dyDescent="0.3">
      <c r="A1206" t="s">
        <v>1195</v>
      </c>
      <c r="B1206" t="s">
        <v>181</v>
      </c>
    </row>
    <row r="1207" spans="1:2" x14ac:dyDescent="0.3">
      <c r="A1207" t="s">
        <v>1196</v>
      </c>
      <c r="B1207" t="s">
        <v>180</v>
      </c>
    </row>
    <row r="1208" spans="1:2" x14ac:dyDescent="0.3">
      <c r="A1208" t="s">
        <v>1197</v>
      </c>
      <c r="B1208" t="s">
        <v>181</v>
      </c>
    </row>
    <row r="1209" spans="1:2" x14ac:dyDescent="0.3">
      <c r="A1209" t="s">
        <v>1198</v>
      </c>
      <c r="B1209" t="s">
        <v>181</v>
      </c>
    </row>
    <row r="1210" spans="1:2" x14ac:dyDescent="0.3">
      <c r="A1210" t="s">
        <v>1199</v>
      </c>
      <c r="B1210" t="s">
        <v>181</v>
      </c>
    </row>
    <row r="1211" spans="1:2" x14ac:dyDescent="0.3">
      <c r="A1211" t="s">
        <v>1200</v>
      </c>
      <c r="B1211" t="s">
        <v>181</v>
      </c>
    </row>
    <row r="1212" spans="1:2" x14ac:dyDescent="0.3">
      <c r="B1212" t="s">
        <v>181</v>
      </c>
    </row>
    <row r="1213" spans="1:2" x14ac:dyDescent="0.3">
      <c r="A1213" t="s">
        <v>1201</v>
      </c>
      <c r="B1213" t="s">
        <v>181</v>
      </c>
    </row>
    <row r="1214" spans="1:2" x14ac:dyDescent="0.3">
      <c r="B1214" t="s">
        <v>181</v>
      </c>
    </row>
    <row r="1215" spans="1:2" x14ac:dyDescent="0.3">
      <c r="A1215" t="s">
        <v>932</v>
      </c>
      <c r="B1215" t="s">
        <v>181</v>
      </c>
    </row>
    <row r="1216" spans="1:2" x14ac:dyDescent="0.3">
      <c r="B1216" t="s">
        <v>181</v>
      </c>
    </row>
    <row r="1217" spans="1:2" x14ac:dyDescent="0.3">
      <c r="A1217" t="s">
        <v>1202</v>
      </c>
      <c r="B1217" t="s">
        <v>181</v>
      </c>
    </row>
    <row r="1218" spans="1:2" x14ac:dyDescent="0.3">
      <c r="B1218" t="s">
        <v>181</v>
      </c>
    </row>
    <row r="1219" spans="1:2" x14ac:dyDescent="0.3">
      <c r="B1219" t="s">
        <v>181</v>
      </c>
    </row>
    <row r="1220" spans="1:2" x14ac:dyDescent="0.3">
      <c r="B1220" t="s">
        <v>181</v>
      </c>
    </row>
    <row r="1221" spans="1:2" x14ac:dyDescent="0.3">
      <c r="A1221" t="s">
        <v>1203</v>
      </c>
      <c r="B1221" t="s">
        <v>181</v>
      </c>
    </row>
    <row r="1222" spans="1:2" x14ac:dyDescent="0.3">
      <c r="A1222" t="s">
        <v>1204</v>
      </c>
      <c r="B1222" t="s">
        <v>181</v>
      </c>
    </row>
    <row r="1223" spans="1:2" x14ac:dyDescent="0.3">
      <c r="A1223" t="s">
        <v>1205</v>
      </c>
      <c r="B1223" t="s">
        <v>181</v>
      </c>
    </row>
    <row r="1224" spans="1:2" x14ac:dyDescent="0.3">
      <c r="A1224" t="s">
        <v>1206</v>
      </c>
      <c r="B1224" t="s">
        <v>181</v>
      </c>
    </row>
    <row r="1225" spans="1:2" x14ac:dyDescent="0.3">
      <c r="A1225" t="s">
        <v>1207</v>
      </c>
      <c r="B1225" t="s">
        <v>181</v>
      </c>
    </row>
    <row r="1226" spans="1:2" x14ac:dyDescent="0.3">
      <c r="A1226" t="s">
        <v>1208</v>
      </c>
      <c r="B1226" t="s">
        <v>181</v>
      </c>
    </row>
    <row r="1227" spans="1:2" x14ac:dyDescent="0.3">
      <c r="B1227" t="s">
        <v>181</v>
      </c>
    </row>
    <row r="1228" spans="1:2" x14ac:dyDescent="0.3">
      <c r="A1228" t="s">
        <v>1209</v>
      </c>
      <c r="B1228" t="s">
        <v>181</v>
      </c>
    </row>
    <row r="1229" spans="1:2" x14ac:dyDescent="0.3">
      <c r="A1229" t="s">
        <v>1210</v>
      </c>
      <c r="B1229" t="s">
        <v>181</v>
      </c>
    </row>
    <row r="1230" spans="1:2" x14ac:dyDescent="0.3">
      <c r="A1230" t="s">
        <v>1211</v>
      </c>
      <c r="B1230" t="s">
        <v>181</v>
      </c>
    </row>
    <row r="1231" spans="1:2" x14ac:dyDescent="0.3">
      <c r="A1231" t="s">
        <v>1212</v>
      </c>
      <c r="B1231" t="s">
        <v>181</v>
      </c>
    </row>
    <row r="1232" spans="1:2" x14ac:dyDescent="0.3">
      <c r="A1232" t="s">
        <v>1213</v>
      </c>
      <c r="B1232" t="s">
        <v>181</v>
      </c>
    </row>
    <row r="1233" spans="1:2" x14ac:dyDescent="0.3">
      <c r="A1233" t="s">
        <v>1214</v>
      </c>
      <c r="B1233" t="s">
        <v>2</v>
      </c>
    </row>
    <row r="1234" spans="1:2" x14ac:dyDescent="0.3">
      <c r="B1234" t="s">
        <v>2</v>
      </c>
    </row>
    <row r="1235" spans="1:2" x14ac:dyDescent="0.3">
      <c r="B1235" t="s">
        <v>2</v>
      </c>
    </row>
    <row r="1236" spans="1:2" x14ac:dyDescent="0.3">
      <c r="B1236" t="s">
        <v>2</v>
      </c>
    </row>
    <row r="1237" spans="1:2" x14ac:dyDescent="0.3">
      <c r="B1237" t="s">
        <v>2</v>
      </c>
    </row>
    <row r="1238" spans="1:2" x14ac:dyDescent="0.3">
      <c r="A1238" t="s">
        <v>1215</v>
      </c>
      <c r="B1238" t="s">
        <v>2</v>
      </c>
    </row>
    <row r="1239" spans="1:2" x14ac:dyDescent="0.3">
      <c r="B1239" t="s">
        <v>2</v>
      </c>
    </row>
    <row r="1240" spans="1:2" x14ac:dyDescent="0.3">
      <c r="B1240" t="s">
        <v>2</v>
      </c>
    </row>
    <row r="1241" spans="1:2" x14ac:dyDescent="0.3">
      <c r="A1241" t="s">
        <v>1216</v>
      </c>
      <c r="B1241" t="s">
        <v>2</v>
      </c>
    </row>
    <row r="1242" spans="1:2" x14ac:dyDescent="0.3">
      <c r="B1242" t="s">
        <v>2</v>
      </c>
    </row>
    <row r="1243" spans="1:2" x14ac:dyDescent="0.3">
      <c r="A1243" t="s">
        <v>1217</v>
      </c>
      <c r="B1243" t="s">
        <v>2</v>
      </c>
    </row>
    <row r="1244" spans="1:2" x14ac:dyDescent="0.3">
      <c r="A1244" t="s">
        <v>1218</v>
      </c>
      <c r="B1244" t="s">
        <v>2</v>
      </c>
    </row>
    <row r="1245" spans="1:2" x14ac:dyDescent="0.3">
      <c r="B1245" t="s">
        <v>2</v>
      </c>
    </row>
    <row r="1246" spans="1:2" x14ac:dyDescent="0.3">
      <c r="A1246" t="s">
        <v>1219</v>
      </c>
      <c r="B1246" t="s">
        <v>2</v>
      </c>
    </row>
    <row r="1247" spans="1:2" x14ac:dyDescent="0.3">
      <c r="A1247" t="s">
        <v>1220</v>
      </c>
      <c r="B1247" t="s">
        <v>2</v>
      </c>
    </row>
    <row r="1248" spans="1:2" x14ac:dyDescent="0.3">
      <c r="B1248" t="s">
        <v>2</v>
      </c>
    </row>
    <row r="1249" spans="1:2" x14ac:dyDescent="0.3">
      <c r="A1249" t="s">
        <v>1221</v>
      </c>
      <c r="B1249" t="s">
        <v>2</v>
      </c>
    </row>
    <row r="1250" spans="1:2" x14ac:dyDescent="0.3">
      <c r="B1250" t="s">
        <v>2</v>
      </c>
    </row>
    <row r="1251" spans="1:2" x14ac:dyDescent="0.3">
      <c r="A1251" t="s">
        <v>1222</v>
      </c>
      <c r="B1251" t="s">
        <v>2</v>
      </c>
    </row>
    <row r="1252" spans="1:2" x14ac:dyDescent="0.3">
      <c r="A1252" t="s">
        <v>1223</v>
      </c>
      <c r="B1252" t="s">
        <v>2</v>
      </c>
    </row>
    <row r="1253" spans="1:2" x14ac:dyDescent="0.3">
      <c r="A1253" t="s">
        <v>1224</v>
      </c>
      <c r="B1253" t="s">
        <v>2</v>
      </c>
    </row>
    <row r="1254" spans="1:2" x14ac:dyDescent="0.3">
      <c r="B1254" t="s">
        <v>2</v>
      </c>
    </row>
    <row r="1255" spans="1:2" x14ac:dyDescent="0.3">
      <c r="A1255" t="s">
        <v>1225</v>
      </c>
      <c r="B1255" t="s">
        <v>2</v>
      </c>
    </row>
    <row r="1256" spans="1:2" x14ac:dyDescent="0.3">
      <c r="A1256" t="s">
        <v>1226</v>
      </c>
      <c r="B1256" t="s">
        <v>2</v>
      </c>
    </row>
    <row r="1257" spans="1:2" x14ac:dyDescent="0.3">
      <c r="A1257" t="s">
        <v>1227</v>
      </c>
      <c r="B1257" t="s">
        <v>2</v>
      </c>
    </row>
    <row r="1258" spans="1:2" x14ac:dyDescent="0.3">
      <c r="A1258" t="s">
        <v>1228</v>
      </c>
      <c r="B1258" t="s">
        <v>2</v>
      </c>
    </row>
    <row r="1259" spans="1:2" x14ac:dyDescent="0.3">
      <c r="A1259" t="s">
        <v>1229</v>
      </c>
      <c r="B1259" t="s">
        <v>2</v>
      </c>
    </row>
    <row r="1260" spans="1:2" x14ac:dyDescent="0.3">
      <c r="B1260" t="s">
        <v>2</v>
      </c>
    </row>
    <row r="1261" spans="1:2" x14ac:dyDescent="0.3">
      <c r="B1261" t="s">
        <v>2</v>
      </c>
    </row>
    <row r="1262" spans="1:2" x14ac:dyDescent="0.3">
      <c r="A1262" t="s">
        <v>1230</v>
      </c>
      <c r="B1262" t="s">
        <v>2</v>
      </c>
    </row>
    <row r="1263" spans="1:2" x14ac:dyDescent="0.3">
      <c r="A1263" t="s">
        <v>1231</v>
      </c>
      <c r="B1263" t="s">
        <v>2</v>
      </c>
    </row>
    <row r="1264" spans="1:2" x14ac:dyDescent="0.3">
      <c r="A1264" t="s">
        <v>1232</v>
      </c>
      <c r="B1264" t="s">
        <v>2</v>
      </c>
    </row>
    <row r="1265" spans="1:2" x14ac:dyDescent="0.3">
      <c r="B1265" t="s">
        <v>2</v>
      </c>
    </row>
    <row r="1266" spans="1:2" x14ac:dyDescent="0.3">
      <c r="B1266" t="s">
        <v>2</v>
      </c>
    </row>
    <row r="1267" spans="1:2" x14ac:dyDescent="0.3">
      <c r="B1267" t="s">
        <v>2</v>
      </c>
    </row>
    <row r="1268" spans="1:2" x14ac:dyDescent="0.3">
      <c r="A1268" t="s">
        <v>1233</v>
      </c>
      <c r="B1268" t="s">
        <v>2</v>
      </c>
    </row>
    <row r="1269" spans="1:2" x14ac:dyDescent="0.3">
      <c r="B1269" t="s">
        <v>2</v>
      </c>
    </row>
    <row r="1270" spans="1:2" x14ac:dyDescent="0.3">
      <c r="B1270" t="s">
        <v>2</v>
      </c>
    </row>
    <row r="1271" spans="1:2" x14ac:dyDescent="0.3">
      <c r="A1271" t="s">
        <v>1234</v>
      </c>
      <c r="B1271" t="s">
        <v>2</v>
      </c>
    </row>
    <row r="1272" spans="1:2" x14ac:dyDescent="0.3">
      <c r="B1272" t="s">
        <v>2</v>
      </c>
    </row>
    <row r="1273" spans="1:2" x14ac:dyDescent="0.3">
      <c r="B1273" t="s">
        <v>2</v>
      </c>
    </row>
    <row r="1274" spans="1:2" x14ac:dyDescent="0.3">
      <c r="B1274" t="s">
        <v>2</v>
      </c>
    </row>
    <row r="1275" spans="1:2" x14ac:dyDescent="0.3">
      <c r="B1275" t="s">
        <v>2</v>
      </c>
    </row>
    <row r="1276" spans="1:2" x14ac:dyDescent="0.3">
      <c r="B1276" t="s">
        <v>2</v>
      </c>
    </row>
    <row r="1277" spans="1:2" x14ac:dyDescent="0.3">
      <c r="B1277" t="s">
        <v>2</v>
      </c>
    </row>
    <row r="1278" spans="1:2" x14ac:dyDescent="0.3">
      <c r="B1278" t="s">
        <v>2</v>
      </c>
    </row>
    <row r="1279" spans="1:2" x14ac:dyDescent="0.3">
      <c r="A1279" t="s">
        <v>1235</v>
      </c>
      <c r="B1279" t="s">
        <v>2</v>
      </c>
    </row>
    <row r="1280" spans="1:2" x14ac:dyDescent="0.3">
      <c r="B1280" t="s">
        <v>2</v>
      </c>
    </row>
    <row r="1281" spans="1:2" x14ac:dyDescent="0.3">
      <c r="B1281" t="s">
        <v>2</v>
      </c>
    </row>
    <row r="1282" spans="1:2" x14ac:dyDescent="0.3">
      <c r="B1282" t="s">
        <v>2</v>
      </c>
    </row>
    <row r="1283" spans="1:2" x14ac:dyDescent="0.3">
      <c r="B1283" t="s">
        <v>2</v>
      </c>
    </row>
    <row r="1284" spans="1:2" x14ac:dyDescent="0.3">
      <c r="B1284" t="s">
        <v>2</v>
      </c>
    </row>
    <row r="1285" spans="1:2" x14ac:dyDescent="0.3">
      <c r="A1285" t="s">
        <v>912</v>
      </c>
      <c r="B1285" t="s">
        <v>2</v>
      </c>
    </row>
    <row r="1286" spans="1:2" x14ac:dyDescent="0.3">
      <c r="B1286" t="s">
        <v>2</v>
      </c>
    </row>
    <row r="1287" spans="1:2" x14ac:dyDescent="0.3">
      <c r="A1287" t="s">
        <v>1236</v>
      </c>
      <c r="B1287" t="s">
        <v>2</v>
      </c>
    </row>
    <row r="1288" spans="1:2" x14ac:dyDescent="0.3">
      <c r="B1288" t="s">
        <v>2</v>
      </c>
    </row>
    <row r="1289" spans="1:2" x14ac:dyDescent="0.3">
      <c r="B1289" t="s">
        <v>2</v>
      </c>
    </row>
    <row r="1290" spans="1:2" x14ac:dyDescent="0.3">
      <c r="A1290" t="s">
        <v>1237</v>
      </c>
      <c r="B1290" t="s">
        <v>2</v>
      </c>
    </row>
    <row r="1291" spans="1:2" x14ac:dyDescent="0.3">
      <c r="A1291" t="s">
        <v>1238</v>
      </c>
      <c r="B1291" t="s">
        <v>2</v>
      </c>
    </row>
    <row r="1292" spans="1:2" x14ac:dyDescent="0.3">
      <c r="B1292" t="s">
        <v>2</v>
      </c>
    </row>
    <row r="1293" spans="1:2" x14ac:dyDescent="0.3">
      <c r="A1293" t="s">
        <v>1239</v>
      </c>
      <c r="B1293" t="s">
        <v>2</v>
      </c>
    </row>
    <row r="1294" spans="1:2" x14ac:dyDescent="0.3">
      <c r="A1294" t="s">
        <v>1240</v>
      </c>
      <c r="B1294" t="s">
        <v>2</v>
      </c>
    </row>
    <row r="1295" spans="1:2" x14ac:dyDescent="0.3">
      <c r="A1295" t="s">
        <v>1241</v>
      </c>
      <c r="B1295" t="s">
        <v>2</v>
      </c>
    </row>
    <row r="1296" spans="1:2" x14ac:dyDescent="0.3">
      <c r="B1296" t="s">
        <v>2</v>
      </c>
    </row>
    <row r="1297" spans="1:2" x14ac:dyDescent="0.3">
      <c r="B1297" t="s">
        <v>2</v>
      </c>
    </row>
    <row r="1298" spans="1:2" x14ac:dyDescent="0.3">
      <c r="A1298" t="s">
        <v>1242</v>
      </c>
      <c r="B1298" t="s">
        <v>2</v>
      </c>
    </row>
    <row r="1299" spans="1:2" x14ac:dyDescent="0.3">
      <c r="A1299" t="s">
        <v>1243</v>
      </c>
      <c r="B1299" t="s">
        <v>2</v>
      </c>
    </row>
    <row r="1300" spans="1:2" x14ac:dyDescent="0.3">
      <c r="A1300" t="s">
        <v>1244</v>
      </c>
      <c r="B1300" t="s">
        <v>2</v>
      </c>
    </row>
    <row r="1301" spans="1:2" x14ac:dyDescent="0.3">
      <c r="A1301" t="s">
        <v>1245</v>
      </c>
      <c r="B1301" t="s">
        <v>2</v>
      </c>
    </row>
    <row r="1302" spans="1:2" x14ac:dyDescent="0.3">
      <c r="A1302" t="s">
        <v>1246</v>
      </c>
      <c r="B1302" t="s">
        <v>2</v>
      </c>
    </row>
    <row r="1303" spans="1:2" x14ac:dyDescent="0.3">
      <c r="B1303" t="s">
        <v>2</v>
      </c>
    </row>
    <row r="1304" spans="1:2" x14ac:dyDescent="0.3">
      <c r="A1304" t="s">
        <v>1247</v>
      </c>
      <c r="B1304" t="s">
        <v>2</v>
      </c>
    </row>
    <row r="1305" spans="1:2" x14ac:dyDescent="0.3">
      <c r="B1305" t="s">
        <v>2</v>
      </c>
    </row>
    <row r="1306" spans="1:2" x14ac:dyDescent="0.3">
      <c r="A1306" t="s">
        <v>1248</v>
      </c>
      <c r="B1306" t="s">
        <v>2</v>
      </c>
    </row>
    <row r="1307" spans="1:2" x14ac:dyDescent="0.3">
      <c r="A1307" t="s">
        <v>1249</v>
      </c>
      <c r="B1307" t="s">
        <v>2</v>
      </c>
    </row>
    <row r="1308" spans="1:2" x14ac:dyDescent="0.3">
      <c r="A1308" t="s">
        <v>1250</v>
      </c>
      <c r="B1308" t="s">
        <v>2</v>
      </c>
    </row>
    <row r="1309" spans="1:2" x14ac:dyDescent="0.3">
      <c r="A1309" t="s">
        <v>1251</v>
      </c>
      <c r="B1309" t="s">
        <v>2</v>
      </c>
    </row>
    <row r="1310" spans="1:2" x14ac:dyDescent="0.3">
      <c r="B1310" t="s">
        <v>2</v>
      </c>
    </row>
    <row r="1311" spans="1:2" x14ac:dyDescent="0.3">
      <c r="A1311" t="s">
        <v>1252</v>
      </c>
      <c r="B1311" t="s">
        <v>2</v>
      </c>
    </row>
    <row r="1312" spans="1:2" x14ac:dyDescent="0.3">
      <c r="A1312" t="s">
        <v>1253</v>
      </c>
      <c r="B1312" t="s">
        <v>2</v>
      </c>
    </row>
    <row r="1313" spans="1:2" x14ac:dyDescent="0.3">
      <c r="A1313" t="s">
        <v>1254</v>
      </c>
      <c r="B1313" t="s">
        <v>2</v>
      </c>
    </row>
    <row r="1314" spans="1:2" x14ac:dyDescent="0.3">
      <c r="A1314" t="s">
        <v>1255</v>
      </c>
      <c r="B1314" t="s">
        <v>2</v>
      </c>
    </row>
    <row r="1315" spans="1:2" x14ac:dyDescent="0.3">
      <c r="B1315" t="s">
        <v>2</v>
      </c>
    </row>
    <row r="1316" spans="1:2" x14ac:dyDescent="0.3">
      <c r="A1316" t="s">
        <v>1256</v>
      </c>
      <c r="B1316" t="s">
        <v>2</v>
      </c>
    </row>
    <row r="1317" spans="1:2" x14ac:dyDescent="0.3">
      <c r="A1317" t="s">
        <v>1257</v>
      </c>
      <c r="B1317" t="s">
        <v>2</v>
      </c>
    </row>
    <row r="1318" spans="1:2" x14ac:dyDescent="0.3">
      <c r="A1318" t="s">
        <v>1060</v>
      </c>
      <c r="B1318" t="s">
        <v>2</v>
      </c>
    </row>
    <row r="1319" spans="1:2" x14ac:dyDescent="0.3">
      <c r="A1319" t="s">
        <v>1258</v>
      </c>
      <c r="B1319" t="s">
        <v>2</v>
      </c>
    </row>
    <row r="1320" spans="1:2" x14ac:dyDescent="0.3">
      <c r="A1320" t="s">
        <v>1259</v>
      </c>
      <c r="B1320" t="s">
        <v>2</v>
      </c>
    </row>
    <row r="1321" spans="1:2" x14ac:dyDescent="0.3">
      <c r="A1321" t="s">
        <v>1260</v>
      </c>
      <c r="B1321" t="s">
        <v>2</v>
      </c>
    </row>
    <row r="1322" spans="1:2" x14ac:dyDescent="0.3">
      <c r="A1322" t="s">
        <v>1261</v>
      </c>
      <c r="B1322" t="s">
        <v>2</v>
      </c>
    </row>
    <row r="1323" spans="1:2" x14ac:dyDescent="0.3">
      <c r="A1323" t="s">
        <v>1262</v>
      </c>
      <c r="B1323" t="s">
        <v>2</v>
      </c>
    </row>
    <row r="1324" spans="1:2" x14ac:dyDescent="0.3">
      <c r="A1324" t="s">
        <v>1263</v>
      </c>
      <c r="B1324" t="s">
        <v>2</v>
      </c>
    </row>
    <row r="1325" spans="1:2" x14ac:dyDescent="0.3">
      <c r="A1325" t="s">
        <v>1264</v>
      </c>
      <c r="B1325" t="s">
        <v>2</v>
      </c>
    </row>
    <row r="1326" spans="1:2" x14ac:dyDescent="0.3">
      <c r="B1326" t="s">
        <v>2</v>
      </c>
    </row>
    <row r="1327" spans="1:2" x14ac:dyDescent="0.3">
      <c r="A1327" t="s">
        <v>1265</v>
      </c>
      <c r="B1327" t="s">
        <v>2</v>
      </c>
    </row>
    <row r="1328" spans="1:2" x14ac:dyDescent="0.3">
      <c r="A1328" t="s">
        <v>1266</v>
      </c>
      <c r="B1328" t="s">
        <v>2</v>
      </c>
    </row>
    <row r="1329" spans="1:2" x14ac:dyDescent="0.3">
      <c r="B1329" t="s">
        <v>2</v>
      </c>
    </row>
    <row r="1330" spans="1:2" x14ac:dyDescent="0.3">
      <c r="A1330" t="s">
        <v>1267</v>
      </c>
      <c r="B1330" t="s">
        <v>2</v>
      </c>
    </row>
    <row r="1331" spans="1:2" x14ac:dyDescent="0.3">
      <c r="A1331" t="s">
        <v>1268</v>
      </c>
      <c r="B1331" t="s">
        <v>2</v>
      </c>
    </row>
    <row r="1332" spans="1:2" x14ac:dyDescent="0.3">
      <c r="A1332" t="s">
        <v>1269</v>
      </c>
      <c r="B1332" t="s">
        <v>2</v>
      </c>
    </row>
    <row r="1333" spans="1:2" x14ac:dyDescent="0.3">
      <c r="B1333" t="s">
        <v>2</v>
      </c>
    </row>
    <row r="1334" spans="1:2" x14ac:dyDescent="0.3">
      <c r="A1334" t="s">
        <v>1270</v>
      </c>
      <c r="B1334" t="s">
        <v>2</v>
      </c>
    </row>
    <row r="1335" spans="1:2" x14ac:dyDescent="0.3">
      <c r="A1335" t="s">
        <v>1271</v>
      </c>
      <c r="B1335" t="s">
        <v>2</v>
      </c>
    </row>
    <row r="1336" spans="1:2" x14ac:dyDescent="0.3">
      <c r="B1336" t="s">
        <v>2</v>
      </c>
    </row>
    <row r="1337" spans="1:2" x14ac:dyDescent="0.3">
      <c r="A1337" t="s">
        <v>1272</v>
      </c>
      <c r="B1337" t="s">
        <v>2</v>
      </c>
    </row>
    <row r="1338" spans="1:2" x14ac:dyDescent="0.3">
      <c r="A1338" t="s">
        <v>1273</v>
      </c>
      <c r="B1338" t="s">
        <v>2</v>
      </c>
    </row>
    <row r="1339" spans="1:2" x14ac:dyDescent="0.3">
      <c r="A1339" t="s">
        <v>1274</v>
      </c>
      <c r="B1339" t="s">
        <v>2</v>
      </c>
    </row>
    <row r="1340" spans="1:2" x14ac:dyDescent="0.3">
      <c r="B1340" t="s">
        <v>2</v>
      </c>
    </row>
    <row r="1341" spans="1:2" x14ac:dyDescent="0.3">
      <c r="B1341" t="s">
        <v>2</v>
      </c>
    </row>
    <row r="1342" spans="1:2" x14ac:dyDescent="0.3">
      <c r="A1342" t="s">
        <v>1275</v>
      </c>
      <c r="B1342" t="s">
        <v>2</v>
      </c>
    </row>
    <row r="1343" spans="1:2" x14ac:dyDescent="0.3">
      <c r="B1343" t="s">
        <v>2</v>
      </c>
    </row>
    <row r="1344" spans="1:2" x14ac:dyDescent="0.3">
      <c r="B1344" t="s">
        <v>2</v>
      </c>
    </row>
    <row r="1345" spans="1:2" x14ac:dyDescent="0.3">
      <c r="A1345" t="s">
        <v>1276</v>
      </c>
      <c r="B1345" t="s">
        <v>2</v>
      </c>
    </row>
    <row r="1346" spans="1:2" x14ac:dyDescent="0.3">
      <c r="B1346" t="s">
        <v>2</v>
      </c>
    </row>
    <row r="1347" spans="1:2" x14ac:dyDescent="0.3">
      <c r="B1347" t="s">
        <v>2</v>
      </c>
    </row>
    <row r="1348" spans="1:2" x14ac:dyDescent="0.3">
      <c r="B1348" t="s">
        <v>2</v>
      </c>
    </row>
    <row r="1349" spans="1:2" x14ac:dyDescent="0.3">
      <c r="A1349" t="s">
        <v>1277</v>
      </c>
      <c r="B1349" t="s">
        <v>2</v>
      </c>
    </row>
    <row r="1350" spans="1:2" x14ac:dyDescent="0.3">
      <c r="B1350" t="s">
        <v>2</v>
      </c>
    </row>
    <row r="1351" spans="1:2" x14ac:dyDescent="0.3">
      <c r="A1351" t="s">
        <v>1278</v>
      </c>
      <c r="B1351" t="s">
        <v>2</v>
      </c>
    </row>
    <row r="1352" spans="1:2" x14ac:dyDescent="0.3">
      <c r="A1352" t="s">
        <v>1279</v>
      </c>
      <c r="B1352" t="s">
        <v>2</v>
      </c>
    </row>
    <row r="1353" spans="1:2" x14ac:dyDescent="0.3">
      <c r="A1353" t="s">
        <v>1280</v>
      </c>
      <c r="B1353" t="s">
        <v>2</v>
      </c>
    </row>
    <row r="1354" spans="1:2" x14ac:dyDescent="0.3">
      <c r="A1354" t="s">
        <v>1281</v>
      </c>
      <c r="B1354" t="s">
        <v>2</v>
      </c>
    </row>
    <row r="1355" spans="1:2" x14ac:dyDescent="0.3">
      <c r="A1355" t="s">
        <v>1282</v>
      </c>
      <c r="B1355" t="s">
        <v>2</v>
      </c>
    </row>
    <row r="1356" spans="1:2" x14ac:dyDescent="0.3">
      <c r="A1356" t="s">
        <v>1283</v>
      </c>
      <c r="B1356" t="s">
        <v>2</v>
      </c>
    </row>
    <row r="1357" spans="1:2" x14ac:dyDescent="0.3">
      <c r="B1357" t="s">
        <v>2</v>
      </c>
    </row>
    <row r="1358" spans="1:2" x14ac:dyDescent="0.3">
      <c r="A1358" t="s">
        <v>1284</v>
      </c>
      <c r="B1358" t="s">
        <v>2</v>
      </c>
    </row>
    <row r="1359" spans="1:2" x14ac:dyDescent="0.3">
      <c r="A1359" t="s">
        <v>1285</v>
      </c>
      <c r="B1359" t="s">
        <v>2</v>
      </c>
    </row>
    <row r="1360" spans="1:2" x14ac:dyDescent="0.3">
      <c r="A1360" t="s">
        <v>134</v>
      </c>
      <c r="B1360" t="s">
        <v>2</v>
      </c>
    </row>
    <row r="1361" spans="1:2" x14ac:dyDescent="0.3">
      <c r="B1361" t="s">
        <v>2</v>
      </c>
    </row>
    <row r="1362" spans="1:2" x14ac:dyDescent="0.3">
      <c r="B1362" t="s">
        <v>2</v>
      </c>
    </row>
    <row r="1363" spans="1:2" x14ac:dyDescent="0.3">
      <c r="A1363" t="s">
        <v>1286</v>
      </c>
      <c r="B1363" t="s">
        <v>2</v>
      </c>
    </row>
    <row r="1364" spans="1:2" x14ac:dyDescent="0.3">
      <c r="A1364" t="s">
        <v>1287</v>
      </c>
      <c r="B1364" t="s">
        <v>2</v>
      </c>
    </row>
    <row r="1365" spans="1:2" x14ac:dyDescent="0.3">
      <c r="A1365" t="s">
        <v>1288</v>
      </c>
      <c r="B1365" t="s">
        <v>2</v>
      </c>
    </row>
    <row r="1366" spans="1:2" x14ac:dyDescent="0.3">
      <c r="B1366" t="s">
        <v>2</v>
      </c>
    </row>
    <row r="1367" spans="1:2" x14ac:dyDescent="0.3">
      <c r="B1367" t="s">
        <v>2</v>
      </c>
    </row>
    <row r="1368" spans="1:2" x14ac:dyDescent="0.3">
      <c r="A1368" t="s">
        <v>1289</v>
      </c>
      <c r="B1368" t="s">
        <v>2</v>
      </c>
    </row>
    <row r="1369" spans="1:2" x14ac:dyDescent="0.3">
      <c r="B1369" t="s">
        <v>2</v>
      </c>
    </row>
    <row r="1370" spans="1:2" x14ac:dyDescent="0.3">
      <c r="B1370" t="s">
        <v>2</v>
      </c>
    </row>
    <row r="1371" spans="1:2" x14ac:dyDescent="0.3">
      <c r="B1371" t="s">
        <v>2</v>
      </c>
    </row>
    <row r="1372" spans="1:2" x14ac:dyDescent="0.3">
      <c r="A1372" t="s">
        <v>1290</v>
      </c>
      <c r="B1372" t="s">
        <v>2</v>
      </c>
    </row>
    <row r="1373" spans="1:2" x14ac:dyDescent="0.3">
      <c r="B1373" t="s">
        <v>2</v>
      </c>
    </row>
    <row r="1374" spans="1:2" x14ac:dyDescent="0.3">
      <c r="B1374" t="s">
        <v>2</v>
      </c>
    </row>
    <row r="1375" spans="1:2" x14ac:dyDescent="0.3">
      <c r="B1375" t="s">
        <v>2</v>
      </c>
    </row>
    <row r="1376" spans="1:2" x14ac:dyDescent="0.3">
      <c r="B1376" t="s">
        <v>2</v>
      </c>
    </row>
    <row r="1377" spans="1:2" x14ac:dyDescent="0.3">
      <c r="A1377" t="s">
        <v>1291</v>
      </c>
      <c r="B1377" t="s">
        <v>2</v>
      </c>
    </row>
    <row r="1378" spans="1:2" x14ac:dyDescent="0.3">
      <c r="B1378" t="s">
        <v>2</v>
      </c>
    </row>
    <row r="1379" spans="1:2" x14ac:dyDescent="0.3">
      <c r="B1379" t="s">
        <v>2</v>
      </c>
    </row>
    <row r="1380" spans="1:2" x14ac:dyDescent="0.3">
      <c r="B1380" t="s">
        <v>2</v>
      </c>
    </row>
    <row r="1381" spans="1:2" x14ac:dyDescent="0.3">
      <c r="A1381" t="s">
        <v>1292</v>
      </c>
      <c r="B1381" t="s">
        <v>2</v>
      </c>
    </row>
    <row r="1382" spans="1:2" x14ac:dyDescent="0.3">
      <c r="A1382" t="s">
        <v>1293</v>
      </c>
      <c r="B1382" t="s">
        <v>2</v>
      </c>
    </row>
    <row r="1383" spans="1:2" x14ac:dyDescent="0.3">
      <c r="A1383" t="s">
        <v>1294</v>
      </c>
      <c r="B1383" t="s">
        <v>2</v>
      </c>
    </row>
    <row r="1384" spans="1:2" x14ac:dyDescent="0.3">
      <c r="B1384" t="s">
        <v>2</v>
      </c>
    </row>
    <row r="1385" spans="1:2" x14ac:dyDescent="0.3">
      <c r="A1385" t="s">
        <v>1295</v>
      </c>
      <c r="B1385" t="s">
        <v>2</v>
      </c>
    </row>
    <row r="1386" spans="1:2" x14ac:dyDescent="0.3">
      <c r="A1386" t="s">
        <v>1296</v>
      </c>
      <c r="B1386" t="s">
        <v>2</v>
      </c>
    </row>
    <row r="1387" spans="1:2" x14ac:dyDescent="0.3">
      <c r="A1387" t="s">
        <v>1297</v>
      </c>
      <c r="B1387" t="s">
        <v>2</v>
      </c>
    </row>
    <row r="1388" spans="1:2" x14ac:dyDescent="0.3">
      <c r="A1388" t="s">
        <v>1298</v>
      </c>
      <c r="B1388" t="s">
        <v>2</v>
      </c>
    </row>
    <row r="1389" spans="1:2" x14ac:dyDescent="0.3">
      <c r="B1389" t="s">
        <v>2</v>
      </c>
    </row>
    <row r="1390" spans="1:2" x14ac:dyDescent="0.3">
      <c r="A1390" t="s">
        <v>1299</v>
      </c>
      <c r="B1390" t="s">
        <v>2</v>
      </c>
    </row>
    <row r="1391" spans="1:2" x14ac:dyDescent="0.3">
      <c r="B1391" t="s">
        <v>2</v>
      </c>
    </row>
    <row r="1392" spans="1:2" x14ac:dyDescent="0.3">
      <c r="A1392" t="s">
        <v>1300</v>
      </c>
      <c r="B1392" t="s">
        <v>2</v>
      </c>
    </row>
    <row r="1393" spans="1:2" x14ac:dyDescent="0.3">
      <c r="A1393" t="s">
        <v>1301</v>
      </c>
      <c r="B1393" t="s">
        <v>2</v>
      </c>
    </row>
    <row r="1394" spans="1:2" x14ac:dyDescent="0.3">
      <c r="A1394" t="s">
        <v>1302</v>
      </c>
      <c r="B1394" t="s">
        <v>2</v>
      </c>
    </row>
    <row r="1395" spans="1:2" x14ac:dyDescent="0.3">
      <c r="A1395" t="s">
        <v>1303</v>
      </c>
      <c r="B1395" t="s">
        <v>2</v>
      </c>
    </row>
    <row r="1396" spans="1:2" x14ac:dyDescent="0.3">
      <c r="A1396" t="s">
        <v>1304</v>
      </c>
      <c r="B1396" t="s">
        <v>2</v>
      </c>
    </row>
    <row r="1397" spans="1:2" x14ac:dyDescent="0.3">
      <c r="A1397" t="s">
        <v>1305</v>
      </c>
      <c r="B1397" t="s">
        <v>2</v>
      </c>
    </row>
    <row r="1398" spans="1:2" x14ac:dyDescent="0.3">
      <c r="A1398" t="s">
        <v>1306</v>
      </c>
      <c r="B1398" t="s">
        <v>2</v>
      </c>
    </row>
    <row r="1399" spans="1:2" x14ac:dyDescent="0.3">
      <c r="A1399" t="s">
        <v>1307</v>
      </c>
      <c r="B1399" t="s">
        <v>2</v>
      </c>
    </row>
    <row r="1400" spans="1:2" x14ac:dyDescent="0.3">
      <c r="A1400" t="s">
        <v>1308</v>
      </c>
      <c r="B1400" t="s">
        <v>2</v>
      </c>
    </row>
    <row r="1401" spans="1:2" x14ac:dyDescent="0.3">
      <c r="A1401" t="s">
        <v>1309</v>
      </c>
      <c r="B1401" t="s">
        <v>2</v>
      </c>
    </row>
    <row r="1402" spans="1:2" x14ac:dyDescent="0.3">
      <c r="B1402" t="s">
        <v>2</v>
      </c>
    </row>
    <row r="1403" spans="1:2" x14ac:dyDescent="0.3">
      <c r="A1403" t="s">
        <v>1310</v>
      </c>
      <c r="B1403" t="s">
        <v>2</v>
      </c>
    </row>
    <row r="1404" spans="1:2" x14ac:dyDescent="0.3">
      <c r="A1404" t="s">
        <v>1311</v>
      </c>
      <c r="B1404" t="s">
        <v>2</v>
      </c>
    </row>
    <row r="1405" spans="1:2" x14ac:dyDescent="0.3">
      <c r="A1405" t="s">
        <v>1312</v>
      </c>
      <c r="B1405" t="s">
        <v>2</v>
      </c>
    </row>
    <row r="1406" spans="1:2" x14ac:dyDescent="0.3">
      <c r="B1406" t="s">
        <v>2</v>
      </c>
    </row>
    <row r="1407" spans="1:2" x14ac:dyDescent="0.3">
      <c r="B1407" t="s">
        <v>2</v>
      </c>
    </row>
    <row r="1408" spans="1:2" x14ac:dyDescent="0.3">
      <c r="B1408" t="s">
        <v>2</v>
      </c>
    </row>
    <row r="1409" spans="1:2" x14ac:dyDescent="0.3">
      <c r="A1409" t="s">
        <v>1313</v>
      </c>
      <c r="B1409" t="s">
        <v>2</v>
      </c>
    </row>
    <row r="1410" spans="1:2" x14ac:dyDescent="0.3">
      <c r="B1410" t="s">
        <v>2</v>
      </c>
    </row>
    <row r="1411" spans="1:2" x14ac:dyDescent="0.3">
      <c r="B1411" t="s">
        <v>2</v>
      </c>
    </row>
    <row r="1412" spans="1:2" x14ac:dyDescent="0.3">
      <c r="A1412" t="s">
        <v>1314</v>
      </c>
      <c r="B1412" t="s">
        <v>2</v>
      </c>
    </row>
    <row r="1413" spans="1:2" x14ac:dyDescent="0.3">
      <c r="A1413" t="s">
        <v>1315</v>
      </c>
      <c r="B1413" t="s">
        <v>2</v>
      </c>
    </row>
    <row r="1414" spans="1:2" x14ac:dyDescent="0.3">
      <c r="B1414" t="s">
        <v>2</v>
      </c>
    </row>
    <row r="1415" spans="1:2" x14ac:dyDescent="0.3">
      <c r="B1415" t="s">
        <v>2</v>
      </c>
    </row>
    <row r="1416" spans="1:2" x14ac:dyDescent="0.3">
      <c r="A1416" t="s">
        <v>1316</v>
      </c>
      <c r="B1416" t="s">
        <v>2</v>
      </c>
    </row>
    <row r="1417" spans="1:2" x14ac:dyDescent="0.3">
      <c r="A1417" t="s">
        <v>1317</v>
      </c>
      <c r="B1417" t="s">
        <v>2</v>
      </c>
    </row>
    <row r="1418" spans="1:2" x14ac:dyDescent="0.3">
      <c r="A1418" t="s">
        <v>1318</v>
      </c>
      <c r="B1418" t="s">
        <v>842</v>
      </c>
    </row>
    <row r="1419" spans="1:2" x14ac:dyDescent="0.3">
      <c r="A1419" t="s">
        <v>1319</v>
      </c>
      <c r="B1419" t="s">
        <v>842</v>
      </c>
    </row>
    <row r="1420" spans="1:2" x14ac:dyDescent="0.3">
      <c r="B1420" t="s">
        <v>2</v>
      </c>
    </row>
    <row r="1421" spans="1:2" x14ac:dyDescent="0.3">
      <c r="B1421" t="s">
        <v>2</v>
      </c>
    </row>
    <row r="1422" spans="1:2" x14ac:dyDescent="0.3">
      <c r="A1422" t="s">
        <v>1320</v>
      </c>
      <c r="B1422" t="s">
        <v>180</v>
      </c>
    </row>
    <row r="1423" spans="1:2" x14ac:dyDescent="0.3">
      <c r="A1423" t="s">
        <v>1321</v>
      </c>
      <c r="B1423" t="s">
        <v>180</v>
      </c>
    </row>
    <row r="1424" spans="1:2" x14ac:dyDescent="0.3">
      <c r="A1424" t="s">
        <v>1322</v>
      </c>
      <c r="B1424" t="s">
        <v>180</v>
      </c>
    </row>
    <row r="1425" spans="1:2" x14ac:dyDescent="0.3">
      <c r="B1425" t="s">
        <v>180</v>
      </c>
    </row>
    <row r="1426" spans="1:2" x14ac:dyDescent="0.3">
      <c r="A1426" t="s">
        <v>1323</v>
      </c>
      <c r="B1426" t="s">
        <v>180</v>
      </c>
    </row>
    <row r="1427" spans="1:2" x14ac:dyDescent="0.3">
      <c r="B1427" t="s">
        <v>180</v>
      </c>
    </row>
    <row r="1428" spans="1:2" x14ac:dyDescent="0.3">
      <c r="A1428" t="s">
        <v>1324</v>
      </c>
      <c r="B1428" t="s">
        <v>180</v>
      </c>
    </row>
    <row r="1429" spans="1:2" x14ac:dyDescent="0.3">
      <c r="A1429" t="s">
        <v>1325</v>
      </c>
      <c r="B1429" t="s">
        <v>180</v>
      </c>
    </row>
    <row r="1430" spans="1:2" x14ac:dyDescent="0.3">
      <c r="A1430" t="s">
        <v>1326</v>
      </c>
      <c r="B1430" t="s">
        <v>180</v>
      </c>
    </row>
    <row r="1431" spans="1:2" x14ac:dyDescent="0.3">
      <c r="A1431" t="s">
        <v>1327</v>
      </c>
      <c r="B1431" t="s">
        <v>180</v>
      </c>
    </row>
    <row r="1432" spans="1:2" x14ac:dyDescent="0.3">
      <c r="A1432" t="s">
        <v>1328</v>
      </c>
      <c r="B1432" t="s">
        <v>180</v>
      </c>
    </row>
    <row r="1433" spans="1:2" x14ac:dyDescent="0.3">
      <c r="A1433" t="s">
        <v>1329</v>
      </c>
      <c r="B1433" t="s">
        <v>180</v>
      </c>
    </row>
    <row r="1434" spans="1:2" x14ac:dyDescent="0.3">
      <c r="A1434" t="s">
        <v>1330</v>
      </c>
      <c r="B1434" t="s">
        <v>180</v>
      </c>
    </row>
    <row r="1435" spans="1:2" x14ac:dyDescent="0.3">
      <c r="B1435" t="s">
        <v>180</v>
      </c>
    </row>
    <row r="1436" spans="1:2" x14ac:dyDescent="0.3">
      <c r="A1436" t="s">
        <v>1331</v>
      </c>
      <c r="B1436" t="s">
        <v>180</v>
      </c>
    </row>
    <row r="1437" spans="1:2" x14ac:dyDescent="0.3">
      <c r="A1437" t="s">
        <v>1332</v>
      </c>
      <c r="B1437" t="s">
        <v>180</v>
      </c>
    </row>
    <row r="1438" spans="1:2" x14ac:dyDescent="0.3">
      <c r="A1438" t="s">
        <v>1333</v>
      </c>
      <c r="B1438" t="s">
        <v>180</v>
      </c>
    </row>
    <row r="1439" spans="1:2" x14ac:dyDescent="0.3">
      <c r="A1439" t="s">
        <v>1334</v>
      </c>
      <c r="B1439" t="s">
        <v>180</v>
      </c>
    </row>
    <row r="1440" spans="1:2" x14ac:dyDescent="0.3">
      <c r="A1440" t="s">
        <v>1335</v>
      </c>
      <c r="B1440" t="s">
        <v>180</v>
      </c>
    </row>
    <row r="1441" spans="1:2" x14ac:dyDescent="0.3">
      <c r="A1441" t="s">
        <v>1336</v>
      </c>
      <c r="B1441" t="s">
        <v>180</v>
      </c>
    </row>
    <row r="1442" spans="1:2" x14ac:dyDescent="0.3">
      <c r="A1442" t="s">
        <v>1337</v>
      </c>
      <c r="B1442" t="s">
        <v>180</v>
      </c>
    </row>
    <row r="1443" spans="1:2" x14ac:dyDescent="0.3">
      <c r="A1443" t="s">
        <v>1338</v>
      </c>
      <c r="B1443" t="s">
        <v>180</v>
      </c>
    </row>
    <row r="1444" spans="1:2" x14ac:dyDescent="0.3">
      <c r="A1444" t="s">
        <v>1339</v>
      </c>
      <c r="B1444" t="s">
        <v>180</v>
      </c>
    </row>
    <row r="1445" spans="1:2" x14ac:dyDescent="0.3">
      <c r="B1445" t="s">
        <v>180</v>
      </c>
    </row>
    <row r="1446" spans="1:2" x14ac:dyDescent="0.3">
      <c r="A1446" t="s">
        <v>1340</v>
      </c>
      <c r="B1446" t="s">
        <v>180</v>
      </c>
    </row>
    <row r="1447" spans="1:2" x14ac:dyDescent="0.3">
      <c r="A1447" t="s">
        <v>1341</v>
      </c>
      <c r="B1447" t="s">
        <v>180</v>
      </c>
    </row>
    <row r="1448" spans="1:2" x14ac:dyDescent="0.3">
      <c r="A1448" t="s">
        <v>1342</v>
      </c>
      <c r="B1448" t="s">
        <v>180</v>
      </c>
    </row>
    <row r="1449" spans="1:2" x14ac:dyDescent="0.3">
      <c r="B1449" t="s">
        <v>180</v>
      </c>
    </row>
    <row r="1450" spans="1:2" x14ac:dyDescent="0.3">
      <c r="A1450" t="s">
        <v>1343</v>
      </c>
      <c r="B1450" t="s">
        <v>180</v>
      </c>
    </row>
    <row r="1451" spans="1:2" x14ac:dyDescent="0.3">
      <c r="A1451" t="s">
        <v>1344</v>
      </c>
      <c r="B1451" t="s">
        <v>180</v>
      </c>
    </row>
    <row r="1452" spans="1:2" x14ac:dyDescent="0.3">
      <c r="A1452" t="s">
        <v>1345</v>
      </c>
      <c r="B1452" t="s">
        <v>180</v>
      </c>
    </row>
    <row r="1453" spans="1:2" x14ac:dyDescent="0.3">
      <c r="A1453" t="s">
        <v>1346</v>
      </c>
      <c r="B1453" t="s">
        <v>180</v>
      </c>
    </row>
    <row r="1454" spans="1:2" x14ac:dyDescent="0.3">
      <c r="A1454" t="s">
        <v>1347</v>
      </c>
      <c r="B1454" t="s">
        <v>180</v>
      </c>
    </row>
    <row r="1455" spans="1:2" x14ac:dyDescent="0.3">
      <c r="A1455" t="s">
        <v>1348</v>
      </c>
      <c r="B1455" t="s">
        <v>97</v>
      </c>
    </row>
    <row r="1456" spans="1:2" x14ac:dyDescent="0.3">
      <c r="B1456" t="s">
        <v>180</v>
      </c>
    </row>
    <row r="1457" spans="1:2" x14ac:dyDescent="0.3">
      <c r="A1457" t="s">
        <v>1349</v>
      </c>
      <c r="B1457" t="s">
        <v>180</v>
      </c>
    </row>
    <row r="1458" spans="1:2" x14ac:dyDescent="0.3">
      <c r="A1458" t="s">
        <v>1350</v>
      </c>
      <c r="B1458" t="s">
        <v>180</v>
      </c>
    </row>
    <row r="1459" spans="1:2" x14ac:dyDescent="0.3">
      <c r="B1459" t="s">
        <v>180</v>
      </c>
    </row>
    <row r="1460" spans="1:2" x14ac:dyDescent="0.3">
      <c r="A1460" t="s">
        <v>1351</v>
      </c>
      <c r="B1460" t="s">
        <v>180</v>
      </c>
    </row>
    <row r="1461" spans="1:2" x14ac:dyDescent="0.3">
      <c r="B1461" t="s">
        <v>180</v>
      </c>
    </row>
    <row r="1462" spans="1:2" x14ac:dyDescent="0.3">
      <c r="B1462" t="s">
        <v>180</v>
      </c>
    </row>
    <row r="1463" spans="1:2" x14ac:dyDescent="0.3">
      <c r="B1463" t="s">
        <v>180</v>
      </c>
    </row>
    <row r="1464" spans="1:2" x14ac:dyDescent="0.3">
      <c r="A1464" t="s">
        <v>1352</v>
      </c>
      <c r="B1464" t="s">
        <v>180</v>
      </c>
    </row>
    <row r="1465" spans="1:2" x14ac:dyDescent="0.3">
      <c r="B1465" t="s">
        <v>180</v>
      </c>
    </row>
    <row r="1466" spans="1:2" x14ac:dyDescent="0.3">
      <c r="A1466" t="s">
        <v>1353</v>
      </c>
      <c r="B1466" t="s">
        <v>180</v>
      </c>
    </row>
    <row r="1467" spans="1:2" x14ac:dyDescent="0.3">
      <c r="A1467" t="s">
        <v>1354</v>
      </c>
      <c r="B1467" t="s">
        <v>183</v>
      </c>
    </row>
    <row r="1468" spans="1:2" x14ac:dyDescent="0.3">
      <c r="A1468" t="s">
        <v>1355</v>
      </c>
      <c r="B1468" t="s">
        <v>183</v>
      </c>
    </row>
    <row r="1469" spans="1:2" x14ac:dyDescent="0.3">
      <c r="B1469" t="s">
        <v>183</v>
      </c>
    </row>
    <row r="1470" spans="1:2" x14ac:dyDescent="0.3">
      <c r="B1470" t="s">
        <v>183</v>
      </c>
    </row>
    <row r="1471" spans="1:2" x14ac:dyDescent="0.3">
      <c r="B1471" t="s">
        <v>183</v>
      </c>
    </row>
    <row r="1472" spans="1:2" x14ac:dyDescent="0.3">
      <c r="A1472" t="s">
        <v>1356</v>
      </c>
      <c r="B1472" t="s">
        <v>1</v>
      </c>
    </row>
    <row r="1473" spans="1:2" x14ac:dyDescent="0.3">
      <c r="B1473" t="s">
        <v>183</v>
      </c>
    </row>
    <row r="1474" spans="1:2" x14ac:dyDescent="0.3">
      <c r="B1474" t="s">
        <v>183</v>
      </c>
    </row>
    <row r="1475" spans="1:2" x14ac:dyDescent="0.3">
      <c r="B1475" t="s">
        <v>165</v>
      </c>
    </row>
    <row r="1476" spans="1:2" x14ac:dyDescent="0.3">
      <c r="A1476" t="s">
        <v>1357</v>
      </c>
      <c r="B1476" t="s">
        <v>165</v>
      </c>
    </row>
    <row r="1477" spans="1:2" x14ac:dyDescent="0.3">
      <c r="A1477" t="s">
        <v>1358</v>
      </c>
      <c r="B1477" t="s">
        <v>165</v>
      </c>
    </row>
    <row r="1478" spans="1:2" x14ac:dyDescent="0.3">
      <c r="A1478" t="s">
        <v>1359</v>
      </c>
      <c r="B1478" t="s">
        <v>165</v>
      </c>
    </row>
    <row r="1479" spans="1:2" x14ac:dyDescent="0.3">
      <c r="A1479" t="s">
        <v>1360</v>
      </c>
      <c r="B1479" t="s">
        <v>165</v>
      </c>
    </row>
    <row r="1480" spans="1:2" x14ac:dyDescent="0.3">
      <c r="A1480" t="s">
        <v>1361</v>
      </c>
      <c r="B1480" t="s">
        <v>165</v>
      </c>
    </row>
    <row r="1481" spans="1:2" x14ac:dyDescent="0.3">
      <c r="A1481" t="s">
        <v>1362</v>
      </c>
      <c r="B1481" t="s">
        <v>165</v>
      </c>
    </row>
    <row r="1482" spans="1:2" x14ac:dyDescent="0.3">
      <c r="A1482" t="s">
        <v>1363</v>
      </c>
      <c r="B1482" t="s">
        <v>165</v>
      </c>
    </row>
    <row r="1483" spans="1:2" x14ac:dyDescent="0.3">
      <c r="B1483" t="s">
        <v>165</v>
      </c>
    </row>
    <row r="1484" spans="1:2" x14ac:dyDescent="0.3">
      <c r="A1484" t="s">
        <v>1364</v>
      </c>
      <c r="B1484" t="s">
        <v>165</v>
      </c>
    </row>
    <row r="1485" spans="1:2" x14ac:dyDescent="0.3">
      <c r="A1485" t="s">
        <v>1365</v>
      </c>
      <c r="B1485" t="s">
        <v>165</v>
      </c>
    </row>
    <row r="1486" spans="1:2" x14ac:dyDescent="0.3">
      <c r="A1486" t="s">
        <v>1366</v>
      </c>
      <c r="B1486" t="s">
        <v>165</v>
      </c>
    </row>
    <row r="1487" spans="1:2" x14ac:dyDescent="0.3">
      <c r="A1487" t="s">
        <v>1367</v>
      </c>
      <c r="B1487" t="s">
        <v>165</v>
      </c>
    </row>
    <row r="1488" spans="1:2" x14ac:dyDescent="0.3">
      <c r="A1488" t="s">
        <v>1368</v>
      </c>
      <c r="B1488" t="s">
        <v>165</v>
      </c>
    </row>
    <row r="1489" spans="1:2" x14ac:dyDescent="0.3">
      <c r="B1489" t="s">
        <v>165</v>
      </c>
    </row>
    <row r="1490" spans="1:2" x14ac:dyDescent="0.3">
      <c r="A1490" t="s">
        <v>1369</v>
      </c>
      <c r="B1490" t="s">
        <v>165</v>
      </c>
    </row>
    <row r="1491" spans="1:2" x14ac:dyDescent="0.3">
      <c r="A1491" t="s">
        <v>1370</v>
      </c>
      <c r="B1491" t="s">
        <v>165</v>
      </c>
    </row>
    <row r="1492" spans="1:2" x14ac:dyDescent="0.3">
      <c r="A1492" t="s">
        <v>1371</v>
      </c>
      <c r="B1492" t="s">
        <v>165</v>
      </c>
    </row>
    <row r="1493" spans="1:2" x14ac:dyDescent="0.3">
      <c r="A1493" t="s">
        <v>1372</v>
      </c>
      <c r="B1493" t="s">
        <v>165</v>
      </c>
    </row>
    <row r="1494" spans="1:2" x14ac:dyDescent="0.3">
      <c r="A1494" t="s">
        <v>1373</v>
      </c>
      <c r="B1494" t="s">
        <v>165</v>
      </c>
    </row>
    <row r="1495" spans="1:2" x14ac:dyDescent="0.3">
      <c r="A1495" t="s">
        <v>1374</v>
      </c>
      <c r="B1495" t="s">
        <v>165</v>
      </c>
    </row>
    <row r="1496" spans="1:2" x14ac:dyDescent="0.3">
      <c r="A1496" t="s">
        <v>1375</v>
      </c>
      <c r="B1496" t="s">
        <v>165</v>
      </c>
    </row>
    <row r="1497" spans="1:2" x14ac:dyDescent="0.3">
      <c r="A1497" t="s">
        <v>1376</v>
      </c>
      <c r="B1497" t="s">
        <v>165</v>
      </c>
    </row>
    <row r="1498" spans="1:2" x14ac:dyDescent="0.3">
      <c r="B1498" t="s">
        <v>165</v>
      </c>
    </row>
    <row r="1499" spans="1:2" x14ac:dyDescent="0.3">
      <c r="B1499" t="s">
        <v>165</v>
      </c>
    </row>
    <row r="1500" spans="1:2" x14ac:dyDescent="0.3">
      <c r="A1500" t="s">
        <v>1377</v>
      </c>
      <c r="B1500" t="s">
        <v>165</v>
      </c>
    </row>
    <row r="1501" spans="1:2" x14ac:dyDescent="0.3">
      <c r="A1501" t="s">
        <v>1378</v>
      </c>
      <c r="B1501" t="s">
        <v>165</v>
      </c>
    </row>
    <row r="1502" spans="1:2" x14ac:dyDescent="0.3">
      <c r="A1502" t="s">
        <v>1379</v>
      </c>
      <c r="B1502" t="s">
        <v>165</v>
      </c>
    </row>
    <row r="1503" spans="1:2" x14ac:dyDescent="0.3">
      <c r="A1503" t="s">
        <v>1380</v>
      </c>
      <c r="B1503" t="s">
        <v>165</v>
      </c>
    </row>
    <row r="1504" spans="1:2" x14ac:dyDescent="0.3">
      <c r="A1504" t="s">
        <v>1381</v>
      </c>
      <c r="B1504" t="s">
        <v>165</v>
      </c>
    </row>
    <row r="1505" spans="1:2" x14ac:dyDescent="0.3">
      <c r="A1505" t="s">
        <v>1382</v>
      </c>
      <c r="B1505" t="s">
        <v>165</v>
      </c>
    </row>
    <row r="1506" spans="1:2" x14ac:dyDescent="0.3">
      <c r="B1506" t="s">
        <v>165</v>
      </c>
    </row>
    <row r="1507" spans="1:2" x14ac:dyDescent="0.3">
      <c r="A1507" t="s">
        <v>1383</v>
      </c>
      <c r="B1507" t="s">
        <v>165</v>
      </c>
    </row>
    <row r="1508" spans="1:2" x14ac:dyDescent="0.3">
      <c r="A1508" t="s">
        <v>1384</v>
      </c>
      <c r="B1508" t="s">
        <v>165</v>
      </c>
    </row>
    <row r="1509" spans="1:2" x14ac:dyDescent="0.3">
      <c r="A1509" t="s">
        <v>1385</v>
      </c>
      <c r="B1509" t="s">
        <v>1</v>
      </c>
    </row>
    <row r="1510" spans="1:2" x14ac:dyDescent="0.3">
      <c r="A1510" t="s">
        <v>1386</v>
      </c>
      <c r="B1510" t="s">
        <v>165</v>
      </c>
    </row>
    <row r="1511" spans="1:2" x14ac:dyDescent="0.3">
      <c r="A1511" t="s">
        <v>1387</v>
      </c>
      <c r="B1511" t="s">
        <v>165</v>
      </c>
    </row>
    <row r="1512" spans="1:2" x14ac:dyDescent="0.3">
      <c r="A1512" t="s">
        <v>1388</v>
      </c>
      <c r="B1512" t="s">
        <v>165</v>
      </c>
    </row>
    <row r="1513" spans="1:2" x14ac:dyDescent="0.3">
      <c r="B1513" t="s">
        <v>165</v>
      </c>
    </row>
    <row r="1514" spans="1:2" x14ac:dyDescent="0.3">
      <c r="A1514" t="s">
        <v>1389</v>
      </c>
      <c r="B1514" t="s">
        <v>165</v>
      </c>
    </row>
    <row r="1515" spans="1:2" x14ac:dyDescent="0.3">
      <c r="A1515" t="s">
        <v>1390</v>
      </c>
      <c r="B1515" t="s">
        <v>165</v>
      </c>
    </row>
    <row r="1516" spans="1:2" x14ac:dyDescent="0.3">
      <c r="B1516" t="s">
        <v>165</v>
      </c>
    </row>
    <row r="1517" spans="1:2" x14ac:dyDescent="0.3">
      <c r="A1517" t="s">
        <v>1391</v>
      </c>
      <c r="B1517" t="s">
        <v>165</v>
      </c>
    </row>
    <row r="1518" spans="1:2" x14ac:dyDescent="0.3">
      <c r="B1518" t="s">
        <v>165</v>
      </c>
    </row>
    <row r="1519" spans="1:2" x14ac:dyDescent="0.3">
      <c r="B1519" t="s">
        <v>165</v>
      </c>
    </row>
    <row r="1520" spans="1:2" x14ac:dyDescent="0.3">
      <c r="A1520" t="s">
        <v>1392</v>
      </c>
      <c r="B1520" t="s">
        <v>165</v>
      </c>
    </row>
    <row r="1521" spans="1:2" x14ac:dyDescent="0.3">
      <c r="A1521" t="s">
        <v>1393</v>
      </c>
      <c r="B1521" t="s">
        <v>165</v>
      </c>
    </row>
    <row r="1522" spans="1:2" x14ac:dyDescent="0.3">
      <c r="A1522" t="s">
        <v>1394</v>
      </c>
      <c r="B1522" t="s">
        <v>165</v>
      </c>
    </row>
    <row r="1523" spans="1:2" x14ac:dyDescent="0.3">
      <c r="B1523" t="s">
        <v>165</v>
      </c>
    </row>
    <row r="1524" spans="1:2" x14ac:dyDescent="0.3">
      <c r="A1524" t="s">
        <v>1395</v>
      </c>
      <c r="B1524" t="s">
        <v>165</v>
      </c>
    </row>
    <row r="1525" spans="1:2" x14ac:dyDescent="0.3">
      <c r="A1525" t="s">
        <v>1396</v>
      </c>
      <c r="B1525" t="s">
        <v>165</v>
      </c>
    </row>
    <row r="1526" spans="1:2" x14ac:dyDescent="0.3">
      <c r="A1526" t="s">
        <v>1397</v>
      </c>
      <c r="B1526" t="s">
        <v>165</v>
      </c>
    </row>
    <row r="1527" spans="1:2" x14ac:dyDescent="0.3">
      <c r="A1527" t="s">
        <v>1398</v>
      </c>
      <c r="B1527" t="s">
        <v>165</v>
      </c>
    </row>
    <row r="1528" spans="1:2" x14ac:dyDescent="0.3">
      <c r="A1528" t="s">
        <v>1399</v>
      </c>
      <c r="B1528" t="s">
        <v>165</v>
      </c>
    </row>
    <row r="1529" spans="1:2" x14ac:dyDescent="0.3">
      <c r="A1529" t="s">
        <v>1400</v>
      </c>
      <c r="B1529" t="s">
        <v>165</v>
      </c>
    </row>
    <row r="1530" spans="1:2" x14ac:dyDescent="0.3">
      <c r="B1530" t="s">
        <v>165</v>
      </c>
    </row>
    <row r="1531" spans="1:2" x14ac:dyDescent="0.3">
      <c r="A1531" t="s">
        <v>1401</v>
      </c>
      <c r="B1531" t="s">
        <v>165</v>
      </c>
    </row>
    <row r="1532" spans="1:2" x14ac:dyDescent="0.3">
      <c r="B1532" t="s">
        <v>165</v>
      </c>
    </row>
    <row r="1533" spans="1:2" x14ac:dyDescent="0.3">
      <c r="A1533" t="s">
        <v>1402</v>
      </c>
      <c r="B1533" t="s">
        <v>165</v>
      </c>
    </row>
    <row r="1534" spans="1:2" x14ac:dyDescent="0.3">
      <c r="A1534" t="s">
        <v>1403</v>
      </c>
      <c r="B1534" t="s">
        <v>165</v>
      </c>
    </row>
    <row r="1535" spans="1:2" x14ac:dyDescent="0.3">
      <c r="B1535" t="s">
        <v>165</v>
      </c>
    </row>
    <row r="1536" spans="1:2" x14ac:dyDescent="0.3">
      <c r="A1536" t="s">
        <v>1404</v>
      </c>
      <c r="B1536" t="s">
        <v>165</v>
      </c>
    </row>
    <row r="1537" spans="1:2" x14ac:dyDescent="0.3">
      <c r="A1537" t="s">
        <v>1405</v>
      </c>
      <c r="B1537" t="s">
        <v>165</v>
      </c>
    </row>
    <row r="1538" spans="1:2" x14ac:dyDescent="0.3">
      <c r="A1538" t="s">
        <v>1406</v>
      </c>
      <c r="B1538" t="s">
        <v>165</v>
      </c>
    </row>
    <row r="1539" spans="1:2" x14ac:dyDescent="0.3">
      <c r="A1539" t="s">
        <v>1407</v>
      </c>
      <c r="B1539" t="s">
        <v>165</v>
      </c>
    </row>
    <row r="1540" spans="1:2" x14ac:dyDescent="0.3">
      <c r="B1540" t="s">
        <v>165</v>
      </c>
    </row>
    <row r="1541" spans="1:2" x14ac:dyDescent="0.3">
      <c r="B1541" t="s">
        <v>165</v>
      </c>
    </row>
    <row r="1542" spans="1:2" x14ac:dyDescent="0.3">
      <c r="A1542" t="s">
        <v>1408</v>
      </c>
      <c r="B1542" t="s">
        <v>165</v>
      </c>
    </row>
    <row r="1543" spans="1:2" x14ac:dyDescent="0.3">
      <c r="B1543" t="s">
        <v>1409</v>
      </c>
    </row>
    <row r="1544" spans="1:2" x14ac:dyDescent="0.3">
      <c r="A1544" t="s">
        <v>1410</v>
      </c>
      <c r="B1544" t="s">
        <v>1409</v>
      </c>
    </row>
    <row r="1545" spans="1:2" x14ac:dyDescent="0.3">
      <c r="A1545" t="s">
        <v>1411</v>
      </c>
      <c r="B1545" t="s">
        <v>1409</v>
      </c>
    </row>
    <row r="1546" spans="1:2" x14ac:dyDescent="0.3">
      <c r="A1546" t="s">
        <v>1412</v>
      </c>
      <c r="B1546" t="s">
        <v>1409</v>
      </c>
    </row>
    <row r="1547" spans="1:2" x14ac:dyDescent="0.3">
      <c r="B1547" t="s">
        <v>1409</v>
      </c>
    </row>
    <row r="1548" spans="1:2" x14ac:dyDescent="0.3">
      <c r="B1548" t="s">
        <v>228</v>
      </c>
    </row>
    <row r="1549" spans="1:2" x14ac:dyDescent="0.3">
      <c r="B1549" t="s">
        <v>228</v>
      </c>
    </row>
    <row r="1550" spans="1:2" x14ac:dyDescent="0.3">
      <c r="B1550" t="s">
        <v>228</v>
      </c>
    </row>
    <row r="1551" spans="1:2" x14ac:dyDescent="0.3">
      <c r="B1551" t="s">
        <v>228</v>
      </c>
    </row>
    <row r="1552" spans="1:2" x14ac:dyDescent="0.3">
      <c r="B1552" t="s">
        <v>228</v>
      </c>
    </row>
    <row r="1553" spans="1:2" x14ac:dyDescent="0.3">
      <c r="B1553" t="s">
        <v>228</v>
      </c>
    </row>
    <row r="1554" spans="1:2" x14ac:dyDescent="0.3">
      <c r="A1554" t="s">
        <v>1413</v>
      </c>
      <c r="B1554" t="s">
        <v>228</v>
      </c>
    </row>
    <row r="1555" spans="1:2" x14ac:dyDescent="0.3">
      <c r="B1555" t="s">
        <v>228</v>
      </c>
    </row>
    <row r="1556" spans="1:2" x14ac:dyDescent="0.3">
      <c r="B1556" t="s">
        <v>228</v>
      </c>
    </row>
    <row r="1557" spans="1:2" x14ac:dyDescent="0.3">
      <c r="A1557" t="s">
        <v>1414</v>
      </c>
      <c r="B1557" t="s">
        <v>228</v>
      </c>
    </row>
    <row r="1558" spans="1:2" x14ac:dyDescent="0.3">
      <c r="B1558" t="s">
        <v>228</v>
      </c>
    </row>
    <row r="1559" spans="1:2" x14ac:dyDescent="0.3">
      <c r="A1559" t="s">
        <v>1415</v>
      </c>
      <c r="B1559" t="s">
        <v>228</v>
      </c>
    </row>
    <row r="1560" spans="1:2" x14ac:dyDescent="0.3">
      <c r="B1560" t="s">
        <v>228</v>
      </c>
    </row>
    <row r="1561" spans="1:2" x14ac:dyDescent="0.3">
      <c r="A1561" t="s">
        <v>1416</v>
      </c>
      <c r="B1561" t="s">
        <v>228</v>
      </c>
    </row>
    <row r="1562" spans="1:2" x14ac:dyDescent="0.3">
      <c r="A1562" t="s">
        <v>1417</v>
      </c>
      <c r="B1562" t="s">
        <v>228</v>
      </c>
    </row>
    <row r="1563" spans="1:2" x14ac:dyDescent="0.3">
      <c r="A1563" t="s">
        <v>1418</v>
      </c>
      <c r="B1563" t="s">
        <v>228</v>
      </c>
    </row>
    <row r="1564" spans="1:2" x14ac:dyDescent="0.3">
      <c r="B1564" t="s">
        <v>228</v>
      </c>
    </row>
    <row r="1565" spans="1:2" x14ac:dyDescent="0.3">
      <c r="A1565" t="s">
        <v>1419</v>
      </c>
      <c r="B1565" t="s">
        <v>198</v>
      </c>
    </row>
    <row r="1566" spans="1:2" x14ac:dyDescent="0.3">
      <c r="A1566" t="s">
        <v>1420</v>
      </c>
      <c r="B1566" t="s">
        <v>198</v>
      </c>
    </row>
    <row r="1567" spans="1:2" x14ac:dyDescent="0.3">
      <c r="B1567" t="s">
        <v>198</v>
      </c>
    </row>
    <row r="1568" spans="1:2" x14ac:dyDescent="0.3">
      <c r="B1568" t="s">
        <v>198</v>
      </c>
    </row>
    <row r="1569" spans="1:2" x14ac:dyDescent="0.3">
      <c r="A1569" t="s">
        <v>244</v>
      </c>
      <c r="B1569" t="s">
        <v>198</v>
      </c>
    </row>
    <row r="1570" spans="1:2" x14ac:dyDescent="0.3">
      <c r="B1570" t="s">
        <v>198</v>
      </c>
    </row>
    <row r="1571" spans="1:2" x14ac:dyDescent="0.3">
      <c r="A1571" t="s">
        <v>1421</v>
      </c>
      <c r="B1571" t="s">
        <v>198</v>
      </c>
    </row>
    <row r="1572" spans="1:2" x14ac:dyDescent="0.3">
      <c r="B1572" t="s">
        <v>198</v>
      </c>
    </row>
    <row r="1573" spans="1:2" x14ac:dyDescent="0.3">
      <c r="A1573" t="s">
        <v>1422</v>
      </c>
      <c r="B1573" t="s">
        <v>198</v>
      </c>
    </row>
    <row r="1574" spans="1:2" x14ac:dyDescent="0.3">
      <c r="B1574" t="s">
        <v>198</v>
      </c>
    </row>
    <row r="1575" spans="1:2" x14ac:dyDescent="0.3">
      <c r="B1575" t="s">
        <v>198</v>
      </c>
    </row>
    <row r="1576" spans="1:2" x14ac:dyDescent="0.3">
      <c r="B1576" t="s">
        <v>198</v>
      </c>
    </row>
    <row r="1577" spans="1:2" x14ac:dyDescent="0.3">
      <c r="A1577" t="s">
        <v>1423</v>
      </c>
      <c r="B1577" t="s">
        <v>198</v>
      </c>
    </row>
    <row r="1578" spans="1:2" x14ac:dyDescent="0.3">
      <c r="B1578" t="s">
        <v>198</v>
      </c>
    </row>
    <row r="1579" spans="1:2" x14ac:dyDescent="0.3">
      <c r="B1579" t="s">
        <v>198</v>
      </c>
    </row>
    <row r="1580" spans="1:2" x14ac:dyDescent="0.3">
      <c r="A1580" t="s">
        <v>1424</v>
      </c>
      <c r="B1580" t="s">
        <v>198</v>
      </c>
    </row>
    <row r="1581" spans="1:2" x14ac:dyDescent="0.3">
      <c r="A1581" t="s">
        <v>1425</v>
      </c>
      <c r="B1581" t="s">
        <v>1426</v>
      </c>
    </row>
    <row r="1582" spans="1:2" x14ac:dyDescent="0.3">
      <c r="B1582" t="s">
        <v>186</v>
      </c>
    </row>
    <row r="1583" spans="1:2" x14ac:dyDescent="0.3">
      <c r="B1583" t="s">
        <v>186</v>
      </c>
    </row>
    <row r="1584" spans="1:2" x14ac:dyDescent="0.3">
      <c r="A1584" t="s">
        <v>1427</v>
      </c>
      <c r="B1584" t="s">
        <v>186</v>
      </c>
    </row>
    <row r="1585" spans="1:2" x14ac:dyDescent="0.3">
      <c r="A1585" t="s">
        <v>1428</v>
      </c>
      <c r="B1585" t="s">
        <v>186</v>
      </c>
    </row>
    <row r="1586" spans="1:2" x14ac:dyDescent="0.3">
      <c r="A1586" t="s">
        <v>1429</v>
      </c>
      <c r="B1586" t="s">
        <v>186</v>
      </c>
    </row>
    <row r="1587" spans="1:2" x14ac:dyDescent="0.3">
      <c r="A1587" t="s">
        <v>1430</v>
      </c>
      <c r="B1587" t="s">
        <v>186</v>
      </c>
    </row>
    <row r="1588" spans="1:2" x14ac:dyDescent="0.3">
      <c r="A1588" t="s">
        <v>155</v>
      </c>
      <c r="B1588" t="s">
        <v>186</v>
      </c>
    </row>
    <row r="1589" spans="1:2" x14ac:dyDescent="0.3">
      <c r="B1589" t="s">
        <v>186</v>
      </c>
    </row>
    <row r="1590" spans="1:2" x14ac:dyDescent="0.3">
      <c r="B1590" t="s">
        <v>186</v>
      </c>
    </row>
    <row r="1591" spans="1:2" x14ac:dyDescent="0.3">
      <c r="B1591" t="s">
        <v>190</v>
      </c>
    </row>
    <row r="1592" spans="1:2" x14ac:dyDescent="0.3">
      <c r="A1592" t="s">
        <v>1431</v>
      </c>
      <c r="B1592" t="s">
        <v>190</v>
      </c>
    </row>
    <row r="1593" spans="1:2" x14ac:dyDescent="0.3">
      <c r="A1593" t="s">
        <v>1432</v>
      </c>
      <c r="B1593" t="s">
        <v>190</v>
      </c>
    </row>
    <row r="1594" spans="1:2" x14ac:dyDescent="0.3">
      <c r="B1594" t="s">
        <v>190</v>
      </c>
    </row>
    <row r="1595" spans="1:2" x14ac:dyDescent="0.3">
      <c r="B1595" t="s">
        <v>190</v>
      </c>
    </row>
    <row r="1596" spans="1:2" x14ac:dyDescent="0.3">
      <c r="B1596" t="s">
        <v>190</v>
      </c>
    </row>
    <row r="1597" spans="1:2" x14ac:dyDescent="0.3">
      <c r="B1597" t="s">
        <v>190</v>
      </c>
    </row>
    <row r="1598" spans="1:2" x14ac:dyDescent="0.3">
      <c r="B1598" t="s">
        <v>190</v>
      </c>
    </row>
    <row r="1599" spans="1:2" x14ac:dyDescent="0.3">
      <c r="B1599" t="s">
        <v>190</v>
      </c>
    </row>
    <row r="1600" spans="1:2" x14ac:dyDescent="0.3">
      <c r="A1600" t="s">
        <v>1433</v>
      </c>
      <c r="B1600" t="s">
        <v>190</v>
      </c>
    </row>
    <row r="1601" spans="1:2" x14ac:dyDescent="0.3">
      <c r="A1601" t="s">
        <v>1434</v>
      </c>
      <c r="B1601" t="s">
        <v>190</v>
      </c>
    </row>
    <row r="1602" spans="1:2" x14ac:dyDescent="0.3">
      <c r="A1602" t="s">
        <v>1435</v>
      </c>
      <c r="B1602" t="s">
        <v>190</v>
      </c>
    </row>
    <row r="1603" spans="1:2" x14ac:dyDescent="0.3">
      <c r="A1603" t="s">
        <v>1436</v>
      </c>
      <c r="B1603" t="s">
        <v>190</v>
      </c>
    </row>
    <row r="1604" spans="1:2" x14ac:dyDescent="0.3">
      <c r="A1604" t="s">
        <v>1437</v>
      </c>
      <c r="B1604" t="s">
        <v>190</v>
      </c>
    </row>
    <row r="1605" spans="1:2" x14ac:dyDescent="0.3">
      <c r="B1605" t="s">
        <v>190</v>
      </c>
    </row>
    <row r="1606" spans="1:2" x14ac:dyDescent="0.3">
      <c r="B1606" t="s">
        <v>190</v>
      </c>
    </row>
    <row r="1607" spans="1:2" x14ac:dyDescent="0.3">
      <c r="B1607" t="s">
        <v>190</v>
      </c>
    </row>
    <row r="1608" spans="1:2" x14ac:dyDescent="0.3">
      <c r="A1608" t="s">
        <v>1438</v>
      </c>
      <c r="B1608" t="s">
        <v>190</v>
      </c>
    </row>
    <row r="1609" spans="1:2" x14ac:dyDescent="0.3">
      <c r="A1609" t="s">
        <v>1439</v>
      </c>
      <c r="B1609" t="s">
        <v>190</v>
      </c>
    </row>
    <row r="1610" spans="1:2" x14ac:dyDescent="0.3">
      <c r="B1610" t="s">
        <v>190</v>
      </c>
    </row>
    <row r="1611" spans="1:2" x14ac:dyDescent="0.3">
      <c r="A1611" t="s">
        <v>1440</v>
      </c>
      <c r="B1611" t="s">
        <v>190</v>
      </c>
    </row>
    <row r="1612" spans="1:2" x14ac:dyDescent="0.3">
      <c r="A1612" t="s">
        <v>1441</v>
      </c>
      <c r="B1612" t="s">
        <v>190</v>
      </c>
    </row>
    <row r="1613" spans="1:2" x14ac:dyDescent="0.3">
      <c r="A1613" t="s">
        <v>1442</v>
      </c>
      <c r="B1613" t="s">
        <v>190</v>
      </c>
    </row>
    <row r="1614" spans="1:2" x14ac:dyDescent="0.3">
      <c r="A1614" t="s">
        <v>1443</v>
      </c>
      <c r="B1614" t="s">
        <v>190</v>
      </c>
    </row>
    <row r="1615" spans="1:2" x14ac:dyDescent="0.3">
      <c r="B1615" t="s">
        <v>190</v>
      </c>
    </row>
    <row r="1616" spans="1:2" x14ac:dyDescent="0.3">
      <c r="B1616" t="s">
        <v>190</v>
      </c>
    </row>
    <row r="1617" spans="1:2" x14ac:dyDescent="0.3">
      <c r="A1617" t="s">
        <v>1444</v>
      </c>
      <c r="B1617" t="s">
        <v>190</v>
      </c>
    </row>
    <row r="1618" spans="1:2" x14ac:dyDescent="0.3">
      <c r="B1618" t="s">
        <v>190</v>
      </c>
    </row>
    <row r="1619" spans="1:2" x14ac:dyDescent="0.3">
      <c r="A1619" t="s">
        <v>1445</v>
      </c>
      <c r="B1619" t="s">
        <v>1</v>
      </c>
    </row>
    <row r="1620" spans="1:2" x14ac:dyDescent="0.3">
      <c r="A1620" t="s">
        <v>1446</v>
      </c>
      <c r="B1620" t="s">
        <v>1447</v>
      </c>
    </row>
    <row r="1621" spans="1:2" x14ac:dyDescent="0.3">
      <c r="A1621" t="s">
        <v>1448</v>
      </c>
      <c r="B1621" t="s">
        <v>1447</v>
      </c>
    </row>
    <row r="1622" spans="1:2" x14ac:dyDescent="0.3">
      <c r="A1622" t="s">
        <v>1449</v>
      </c>
      <c r="B1622" t="s">
        <v>1450</v>
      </c>
    </row>
    <row r="1623" spans="1:2" x14ac:dyDescent="0.3">
      <c r="A1623" t="s">
        <v>1451</v>
      </c>
      <c r="B1623" t="s">
        <v>1450</v>
      </c>
    </row>
    <row r="1624" spans="1:2" x14ac:dyDescent="0.3">
      <c r="A1624" t="s">
        <v>1452</v>
      </c>
      <c r="B1624" t="s">
        <v>1450</v>
      </c>
    </row>
    <row r="1625" spans="1:2" x14ac:dyDescent="0.3">
      <c r="A1625" t="s">
        <v>1453</v>
      </c>
      <c r="B1625" t="s">
        <v>1450</v>
      </c>
    </row>
    <row r="1626" spans="1:2" x14ac:dyDescent="0.3">
      <c r="A1626" t="s">
        <v>1454</v>
      </c>
      <c r="B1626" t="s">
        <v>1450</v>
      </c>
    </row>
    <row r="1627" spans="1:2" x14ac:dyDescent="0.3">
      <c r="A1627" t="s">
        <v>1455</v>
      </c>
      <c r="B1627" t="s">
        <v>1450</v>
      </c>
    </row>
    <row r="1628" spans="1:2" x14ac:dyDescent="0.3">
      <c r="A1628" t="s">
        <v>1456</v>
      </c>
      <c r="B1628" t="s">
        <v>1450</v>
      </c>
    </row>
    <row r="1629" spans="1:2" x14ac:dyDescent="0.3">
      <c r="A1629" t="s">
        <v>1457</v>
      </c>
      <c r="B1629" t="s">
        <v>1450</v>
      </c>
    </row>
    <row r="1630" spans="1:2" x14ac:dyDescent="0.3">
      <c r="A1630" t="s">
        <v>1458</v>
      </c>
      <c r="B1630" t="s">
        <v>1450</v>
      </c>
    </row>
    <row r="1631" spans="1:2" x14ac:dyDescent="0.3">
      <c r="A1631" t="s">
        <v>1459</v>
      </c>
      <c r="B1631" t="s">
        <v>1450</v>
      </c>
    </row>
    <row r="1632" spans="1:2" x14ac:dyDescent="0.3">
      <c r="A1632" t="s">
        <v>1460</v>
      </c>
      <c r="B1632" t="s">
        <v>1450</v>
      </c>
    </row>
    <row r="1633" spans="1:2" x14ac:dyDescent="0.3">
      <c r="A1633" t="s">
        <v>1461</v>
      </c>
      <c r="B1633" t="s">
        <v>1450</v>
      </c>
    </row>
    <row r="1634" spans="1:2" x14ac:dyDescent="0.3">
      <c r="A1634" t="s">
        <v>1462</v>
      </c>
      <c r="B1634" t="s">
        <v>1450</v>
      </c>
    </row>
    <row r="1635" spans="1:2" x14ac:dyDescent="0.3">
      <c r="A1635" t="s">
        <v>1463</v>
      </c>
      <c r="B1635" t="s">
        <v>1450</v>
      </c>
    </row>
    <row r="1636" spans="1:2" x14ac:dyDescent="0.3">
      <c r="A1636" t="s">
        <v>1464</v>
      </c>
      <c r="B1636" t="s">
        <v>1450</v>
      </c>
    </row>
    <row r="1637" spans="1:2" x14ac:dyDescent="0.3">
      <c r="A1637" t="s">
        <v>1465</v>
      </c>
      <c r="B1637" t="s">
        <v>1450</v>
      </c>
    </row>
    <row r="1638" spans="1:2" x14ac:dyDescent="0.3">
      <c r="A1638" t="s">
        <v>1466</v>
      </c>
      <c r="B1638" t="s">
        <v>1450</v>
      </c>
    </row>
    <row r="1639" spans="1:2" x14ac:dyDescent="0.3">
      <c r="B1639" t="s">
        <v>263</v>
      </c>
    </row>
    <row r="1640" spans="1:2" x14ac:dyDescent="0.3">
      <c r="A1640" t="s">
        <v>1467</v>
      </c>
      <c r="B1640" t="s">
        <v>263</v>
      </c>
    </row>
    <row r="1641" spans="1:2" x14ac:dyDescent="0.3">
      <c r="B1641" t="s">
        <v>263</v>
      </c>
    </row>
    <row r="1642" spans="1:2" x14ac:dyDescent="0.3">
      <c r="A1642" t="s">
        <v>1468</v>
      </c>
      <c r="B1642" t="s">
        <v>263</v>
      </c>
    </row>
    <row r="1643" spans="1:2" x14ac:dyDescent="0.3">
      <c r="B1643" t="s">
        <v>263</v>
      </c>
    </row>
    <row r="1644" spans="1:2" x14ac:dyDescent="0.3">
      <c r="B1644" t="s">
        <v>263</v>
      </c>
    </row>
    <row r="1645" spans="1:2" x14ac:dyDescent="0.3">
      <c r="B1645" t="s">
        <v>263</v>
      </c>
    </row>
    <row r="1646" spans="1:2" x14ac:dyDescent="0.3">
      <c r="B1646" t="s">
        <v>263</v>
      </c>
    </row>
    <row r="1647" spans="1:2" x14ac:dyDescent="0.3">
      <c r="B1647" t="s">
        <v>263</v>
      </c>
    </row>
    <row r="1648" spans="1:2" x14ac:dyDescent="0.3">
      <c r="B1648" t="s">
        <v>263</v>
      </c>
    </row>
    <row r="1649" spans="1:2" x14ac:dyDescent="0.3">
      <c r="B1649" t="s">
        <v>263</v>
      </c>
    </row>
    <row r="1650" spans="1:2" x14ac:dyDescent="0.3">
      <c r="A1650" t="s">
        <v>1469</v>
      </c>
      <c r="B1650" t="s">
        <v>263</v>
      </c>
    </row>
    <row r="1651" spans="1:2" x14ac:dyDescent="0.3">
      <c r="A1651" t="s">
        <v>1470</v>
      </c>
      <c r="B1651" t="s">
        <v>263</v>
      </c>
    </row>
    <row r="1652" spans="1:2" x14ac:dyDescent="0.3">
      <c r="B1652" t="s">
        <v>263</v>
      </c>
    </row>
    <row r="1653" spans="1:2" x14ac:dyDescent="0.3">
      <c r="A1653" t="s">
        <v>235</v>
      </c>
      <c r="B1653" t="s">
        <v>263</v>
      </c>
    </row>
    <row r="1654" spans="1:2" x14ac:dyDescent="0.3">
      <c r="A1654" t="s">
        <v>1471</v>
      </c>
      <c r="B1654" t="s">
        <v>263</v>
      </c>
    </row>
    <row r="1655" spans="1:2" x14ac:dyDescent="0.3">
      <c r="A1655" t="s">
        <v>1472</v>
      </c>
      <c r="B1655" t="s">
        <v>263</v>
      </c>
    </row>
    <row r="1656" spans="1:2" x14ac:dyDescent="0.3">
      <c r="B1656" t="s">
        <v>103</v>
      </c>
    </row>
    <row r="1657" spans="1:2" x14ac:dyDescent="0.3">
      <c r="A1657" t="s">
        <v>1473</v>
      </c>
      <c r="B1657" t="s">
        <v>103</v>
      </c>
    </row>
    <row r="1658" spans="1:2" x14ac:dyDescent="0.3">
      <c r="A1658" t="s">
        <v>1474</v>
      </c>
      <c r="B1658" t="s">
        <v>103</v>
      </c>
    </row>
    <row r="1659" spans="1:2" x14ac:dyDescent="0.3">
      <c r="B1659" t="s">
        <v>103</v>
      </c>
    </row>
    <row r="1660" spans="1:2" x14ac:dyDescent="0.3">
      <c r="A1660" t="s">
        <v>1475</v>
      </c>
      <c r="B1660" t="s">
        <v>103</v>
      </c>
    </row>
    <row r="1661" spans="1:2" x14ac:dyDescent="0.3">
      <c r="B1661" t="s">
        <v>103</v>
      </c>
    </row>
    <row r="1662" spans="1:2" x14ac:dyDescent="0.3">
      <c r="A1662" t="s">
        <v>1476</v>
      </c>
      <c r="B1662" t="s">
        <v>103</v>
      </c>
    </row>
    <row r="1663" spans="1:2" x14ac:dyDescent="0.3">
      <c r="A1663" t="s">
        <v>1477</v>
      </c>
      <c r="B1663" t="s">
        <v>103</v>
      </c>
    </row>
    <row r="1664" spans="1:2" x14ac:dyDescent="0.3">
      <c r="A1664" t="s">
        <v>1478</v>
      </c>
      <c r="B1664" t="s">
        <v>103</v>
      </c>
    </row>
    <row r="1665" spans="1:2" x14ac:dyDescent="0.3">
      <c r="B1665" t="s">
        <v>103</v>
      </c>
    </row>
    <row r="1666" spans="1:2" x14ac:dyDescent="0.3">
      <c r="A1666" t="s">
        <v>1479</v>
      </c>
      <c r="B1666" t="s">
        <v>103</v>
      </c>
    </row>
    <row r="1667" spans="1:2" x14ac:dyDescent="0.3">
      <c r="B1667" t="s">
        <v>103</v>
      </c>
    </row>
    <row r="1668" spans="1:2" x14ac:dyDescent="0.3">
      <c r="A1668" t="s">
        <v>1480</v>
      </c>
      <c r="B1668" t="s">
        <v>103</v>
      </c>
    </row>
    <row r="1669" spans="1:2" x14ac:dyDescent="0.3">
      <c r="A1669" t="s">
        <v>1481</v>
      </c>
      <c r="B1669" t="s">
        <v>103</v>
      </c>
    </row>
    <row r="1670" spans="1:2" x14ac:dyDescent="0.3">
      <c r="A1670" t="s">
        <v>1482</v>
      </c>
      <c r="B1670" t="s">
        <v>103</v>
      </c>
    </row>
    <row r="1671" spans="1:2" x14ac:dyDescent="0.3">
      <c r="A1671" t="s">
        <v>1483</v>
      </c>
      <c r="B1671" t="s">
        <v>103</v>
      </c>
    </row>
    <row r="1672" spans="1:2" x14ac:dyDescent="0.3">
      <c r="B1672" t="s">
        <v>103</v>
      </c>
    </row>
    <row r="1673" spans="1:2" x14ac:dyDescent="0.3">
      <c r="B1673" t="s">
        <v>103</v>
      </c>
    </row>
    <row r="1674" spans="1:2" x14ac:dyDescent="0.3">
      <c r="A1674" t="s">
        <v>1484</v>
      </c>
      <c r="B1674" t="s">
        <v>103</v>
      </c>
    </row>
    <row r="1675" spans="1:2" x14ac:dyDescent="0.3">
      <c r="A1675" t="s">
        <v>154</v>
      </c>
      <c r="B1675" t="s">
        <v>103</v>
      </c>
    </row>
    <row r="1676" spans="1:2" x14ac:dyDescent="0.3">
      <c r="A1676" t="s">
        <v>1485</v>
      </c>
      <c r="B1676" t="s">
        <v>103</v>
      </c>
    </row>
    <row r="1677" spans="1:2" x14ac:dyDescent="0.3">
      <c r="A1677" t="s">
        <v>1486</v>
      </c>
      <c r="B1677" t="s">
        <v>103</v>
      </c>
    </row>
    <row r="1678" spans="1:2" x14ac:dyDescent="0.3">
      <c r="A1678" t="s">
        <v>1487</v>
      </c>
      <c r="B1678" t="s">
        <v>1</v>
      </c>
    </row>
    <row r="1679" spans="1:2" x14ac:dyDescent="0.3">
      <c r="A1679" t="s">
        <v>1488</v>
      </c>
      <c r="B1679" t="s">
        <v>103</v>
      </c>
    </row>
    <row r="1680" spans="1:2" x14ac:dyDescent="0.3">
      <c r="A1680" t="s">
        <v>1489</v>
      </c>
      <c r="B1680" t="s">
        <v>103</v>
      </c>
    </row>
    <row r="1681" spans="1:2" x14ac:dyDescent="0.3">
      <c r="B1681" t="s">
        <v>103</v>
      </c>
    </row>
    <row r="1682" spans="1:2" x14ac:dyDescent="0.3">
      <c r="A1682" t="s">
        <v>1490</v>
      </c>
      <c r="B1682" t="s">
        <v>103</v>
      </c>
    </row>
    <row r="1683" spans="1:2" x14ac:dyDescent="0.3">
      <c r="B1683" t="s">
        <v>103</v>
      </c>
    </row>
    <row r="1684" spans="1:2" x14ac:dyDescent="0.3">
      <c r="B1684" t="s">
        <v>103</v>
      </c>
    </row>
    <row r="1685" spans="1:2" x14ac:dyDescent="0.3">
      <c r="B1685" t="s">
        <v>103</v>
      </c>
    </row>
    <row r="1686" spans="1:2" x14ac:dyDescent="0.3">
      <c r="B1686" t="s">
        <v>103</v>
      </c>
    </row>
    <row r="1687" spans="1:2" x14ac:dyDescent="0.3">
      <c r="A1687" t="s">
        <v>1491</v>
      </c>
      <c r="B1687" t="s">
        <v>103</v>
      </c>
    </row>
    <row r="1688" spans="1:2" x14ac:dyDescent="0.3">
      <c r="B1688" t="s">
        <v>103</v>
      </c>
    </row>
    <row r="1689" spans="1:2" x14ac:dyDescent="0.3">
      <c r="A1689" t="s">
        <v>1492</v>
      </c>
      <c r="B1689" t="s">
        <v>1</v>
      </c>
    </row>
    <row r="1690" spans="1:2" x14ac:dyDescent="0.3">
      <c r="A1690" t="s">
        <v>1493</v>
      </c>
      <c r="B1690" t="s">
        <v>103</v>
      </c>
    </row>
    <row r="1691" spans="1:2" x14ac:dyDescent="0.3">
      <c r="B1691" t="s">
        <v>103</v>
      </c>
    </row>
    <row r="1692" spans="1:2" x14ac:dyDescent="0.3">
      <c r="A1692" t="s">
        <v>1494</v>
      </c>
      <c r="B1692" t="s">
        <v>103</v>
      </c>
    </row>
    <row r="1693" spans="1:2" x14ac:dyDescent="0.3">
      <c r="A1693" t="s">
        <v>1495</v>
      </c>
      <c r="B1693" t="s">
        <v>103</v>
      </c>
    </row>
    <row r="1694" spans="1:2" x14ac:dyDescent="0.3">
      <c r="A1694" t="s">
        <v>1496</v>
      </c>
      <c r="B1694" t="s">
        <v>103</v>
      </c>
    </row>
    <row r="1695" spans="1:2" x14ac:dyDescent="0.3">
      <c r="A1695" t="s">
        <v>1497</v>
      </c>
      <c r="B1695" t="s">
        <v>103</v>
      </c>
    </row>
    <row r="1696" spans="1:2" x14ac:dyDescent="0.3">
      <c r="A1696" t="s">
        <v>1498</v>
      </c>
      <c r="B1696" t="s">
        <v>103</v>
      </c>
    </row>
    <row r="1697" spans="1:2" x14ac:dyDescent="0.3">
      <c r="A1697" t="s">
        <v>1499</v>
      </c>
      <c r="B1697" t="s">
        <v>1</v>
      </c>
    </row>
    <row r="1698" spans="1:2" x14ac:dyDescent="0.3">
      <c r="A1698" t="s">
        <v>1500</v>
      </c>
      <c r="B1698" t="s">
        <v>103</v>
      </c>
    </row>
    <row r="1699" spans="1:2" x14ac:dyDescent="0.3">
      <c r="A1699" t="s">
        <v>1501</v>
      </c>
      <c r="B1699" t="s">
        <v>103</v>
      </c>
    </row>
    <row r="1700" spans="1:2" x14ac:dyDescent="0.3">
      <c r="B1700" t="s">
        <v>103</v>
      </c>
    </row>
    <row r="1701" spans="1:2" x14ac:dyDescent="0.3">
      <c r="B1701" t="s">
        <v>103</v>
      </c>
    </row>
    <row r="1702" spans="1:2" x14ac:dyDescent="0.3">
      <c r="B1702" t="s">
        <v>103</v>
      </c>
    </row>
    <row r="1703" spans="1:2" x14ac:dyDescent="0.3">
      <c r="B1703" t="s">
        <v>1502</v>
      </c>
    </row>
    <row r="1704" spans="1:2" x14ac:dyDescent="0.3">
      <c r="A1704" t="s">
        <v>1503</v>
      </c>
      <c r="B1704" t="s">
        <v>1502</v>
      </c>
    </row>
    <row r="1705" spans="1:2" x14ac:dyDescent="0.3">
      <c r="A1705" t="s">
        <v>1504</v>
      </c>
      <c r="B1705" t="s">
        <v>1505</v>
      </c>
    </row>
    <row r="1706" spans="1:2" x14ac:dyDescent="0.3">
      <c r="A1706" t="s">
        <v>1506</v>
      </c>
      <c r="B1706" t="s">
        <v>1505</v>
      </c>
    </row>
    <row r="1707" spans="1:2" x14ac:dyDescent="0.3">
      <c r="A1707" t="s">
        <v>1507</v>
      </c>
      <c r="B1707" t="s">
        <v>1507</v>
      </c>
    </row>
    <row r="1708" spans="1:2" x14ac:dyDescent="0.3">
      <c r="A1708" t="s">
        <v>1508</v>
      </c>
      <c r="B1708" t="s">
        <v>1509</v>
      </c>
    </row>
    <row r="1709" spans="1:2" x14ac:dyDescent="0.3">
      <c r="A1709" t="s">
        <v>1510</v>
      </c>
      <c r="B1709" t="s">
        <v>1509</v>
      </c>
    </row>
    <row r="1710" spans="1:2" x14ac:dyDescent="0.3">
      <c r="A1710" t="s">
        <v>1511</v>
      </c>
      <c r="B1710" t="s">
        <v>1512</v>
      </c>
    </row>
    <row r="1711" spans="1:2" x14ac:dyDescent="0.3">
      <c r="A1711" t="s">
        <v>1513</v>
      </c>
      <c r="B1711" t="s">
        <v>1509</v>
      </c>
    </row>
    <row r="1712" spans="1:2" x14ac:dyDescent="0.3">
      <c r="A1712" t="s">
        <v>1514</v>
      </c>
      <c r="B1712" t="s">
        <v>1512</v>
      </c>
    </row>
    <row r="1713" spans="1:2" x14ac:dyDescent="0.3">
      <c r="B1713" t="s">
        <v>1509</v>
      </c>
    </row>
    <row r="1714" spans="1:2" x14ac:dyDescent="0.3">
      <c r="A1714" t="s">
        <v>1515</v>
      </c>
      <c r="B1714" t="s">
        <v>1516</v>
      </c>
    </row>
    <row r="1715" spans="1:2" x14ac:dyDescent="0.3">
      <c r="A1715" t="s">
        <v>1517</v>
      </c>
      <c r="B1715" t="s">
        <v>1516</v>
      </c>
    </row>
    <row r="1716" spans="1:2" x14ac:dyDescent="0.3">
      <c r="B1716" t="s">
        <v>1516</v>
      </c>
    </row>
    <row r="1717" spans="1:2" x14ac:dyDescent="0.3">
      <c r="A1717" t="s">
        <v>1518</v>
      </c>
      <c r="B1717" t="s">
        <v>1516</v>
      </c>
    </row>
    <row r="1718" spans="1:2" x14ac:dyDescent="0.3">
      <c r="A1718" t="s">
        <v>1519</v>
      </c>
      <c r="B1718" t="s">
        <v>1516</v>
      </c>
    </row>
    <row r="1719" spans="1:2" x14ac:dyDescent="0.3">
      <c r="B1719" t="s">
        <v>1516</v>
      </c>
    </row>
    <row r="1720" spans="1:2" x14ac:dyDescent="0.3">
      <c r="A1720" t="s">
        <v>1520</v>
      </c>
      <c r="B1720" t="s">
        <v>1516</v>
      </c>
    </row>
    <row r="1721" spans="1:2" x14ac:dyDescent="0.3">
      <c r="A1721" t="s">
        <v>1521</v>
      </c>
      <c r="B1721" t="s">
        <v>1</v>
      </c>
    </row>
    <row r="1722" spans="1:2" x14ac:dyDescent="0.3">
      <c r="A1722" t="s">
        <v>1522</v>
      </c>
      <c r="B1722" t="s">
        <v>1523</v>
      </c>
    </row>
    <row r="1723" spans="1:2" x14ac:dyDescent="0.3">
      <c r="A1723" t="s">
        <v>1524</v>
      </c>
      <c r="B1723" t="s">
        <v>1523</v>
      </c>
    </row>
    <row r="1724" spans="1:2" x14ac:dyDescent="0.3">
      <c r="A1724" t="s">
        <v>1525</v>
      </c>
      <c r="B1724" t="s">
        <v>1523</v>
      </c>
    </row>
    <row r="1725" spans="1:2" x14ac:dyDescent="0.3">
      <c r="A1725" t="s">
        <v>1526</v>
      </c>
      <c r="B1725" t="s">
        <v>1527</v>
      </c>
    </row>
    <row r="1726" spans="1:2" x14ac:dyDescent="0.3">
      <c r="A1726" t="s">
        <v>1528</v>
      </c>
      <c r="B1726" t="s">
        <v>1527</v>
      </c>
    </row>
    <row r="1727" spans="1:2" x14ac:dyDescent="0.3">
      <c r="B1727" t="s">
        <v>1527</v>
      </c>
    </row>
    <row r="1728" spans="1:2" x14ac:dyDescent="0.3">
      <c r="A1728" t="s">
        <v>1529</v>
      </c>
      <c r="B1728" t="s">
        <v>1527</v>
      </c>
    </row>
    <row r="1729" spans="1:2" x14ac:dyDescent="0.3">
      <c r="A1729" t="s">
        <v>1530</v>
      </c>
      <c r="B1729" t="s">
        <v>1527</v>
      </c>
    </row>
    <row r="1730" spans="1:2" x14ac:dyDescent="0.3">
      <c r="A1730" t="s">
        <v>1531</v>
      </c>
      <c r="B1730" t="s">
        <v>1527</v>
      </c>
    </row>
    <row r="1731" spans="1:2" x14ac:dyDescent="0.3">
      <c r="A1731" t="s">
        <v>1532</v>
      </c>
      <c r="B1731" t="s">
        <v>1527</v>
      </c>
    </row>
    <row r="1732" spans="1:2" x14ac:dyDescent="0.3">
      <c r="B1732" t="s">
        <v>1527</v>
      </c>
    </row>
    <row r="1733" spans="1:2" x14ac:dyDescent="0.3">
      <c r="A1733" t="s">
        <v>1533</v>
      </c>
      <c r="B1733" t="s">
        <v>1527</v>
      </c>
    </row>
    <row r="1734" spans="1:2" x14ac:dyDescent="0.3">
      <c r="B1734" t="s">
        <v>1534</v>
      </c>
    </row>
    <row r="1735" spans="1:2" x14ac:dyDescent="0.3">
      <c r="A1735" t="s">
        <v>1535</v>
      </c>
      <c r="B1735" t="s">
        <v>1534</v>
      </c>
    </row>
    <row r="1736" spans="1:2" x14ac:dyDescent="0.3">
      <c r="A1736" t="s">
        <v>1536</v>
      </c>
      <c r="B1736" t="s">
        <v>1534</v>
      </c>
    </row>
    <row r="1737" spans="1:2" x14ac:dyDescent="0.3">
      <c r="B1737" t="s">
        <v>1534</v>
      </c>
    </row>
    <row r="1738" spans="1:2" x14ac:dyDescent="0.3">
      <c r="B1738" t="s">
        <v>1534</v>
      </c>
    </row>
    <row r="1739" spans="1:2" x14ac:dyDescent="0.3">
      <c r="A1739" t="s">
        <v>1537</v>
      </c>
      <c r="B1739" t="s">
        <v>1538</v>
      </c>
    </row>
    <row r="1740" spans="1:2" x14ac:dyDescent="0.3">
      <c r="A1740" t="s">
        <v>1539</v>
      </c>
      <c r="B1740" t="s">
        <v>1538</v>
      </c>
    </row>
    <row r="1741" spans="1:2" x14ac:dyDescent="0.3">
      <c r="A1741" t="s">
        <v>1540</v>
      </c>
      <c r="B1741" t="s">
        <v>1538</v>
      </c>
    </row>
    <row r="1742" spans="1:2" x14ac:dyDescent="0.3">
      <c r="A1742" t="s">
        <v>1541</v>
      </c>
      <c r="B1742" t="s">
        <v>1538</v>
      </c>
    </row>
    <row r="1743" spans="1:2" x14ac:dyDescent="0.3">
      <c r="A1743" t="s">
        <v>1542</v>
      </c>
      <c r="B1743" t="s">
        <v>1538</v>
      </c>
    </row>
    <row r="1744" spans="1:2" x14ac:dyDescent="0.3">
      <c r="A1744" t="s">
        <v>1543</v>
      </c>
      <c r="B1744" t="s">
        <v>1538</v>
      </c>
    </row>
    <row r="1745" spans="1:2" x14ac:dyDescent="0.3">
      <c r="B1745" t="s">
        <v>1538</v>
      </c>
    </row>
    <row r="1746" spans="1:2" x14ac:dyDescent="0.3">
      <c r="A1746" t="s">
        <v>1544</v>
      </c>
      <c r="B1746" t="s">
        <v>100</v>
      </c>
    </row>
    <row r="1747" spans="1:2" x14ac:dyDescent="0.3">
      <c r="A1747" t="s">
        <v>99</v>
      </c>
      <c r="B1747" t="s">
        <v>100</v>
      </c>
    </row>
    <row r="1748" spans="1:2" x14ac:dyDescent="0.3">
      <c r="A1748" t="s">
        <v>142</v>
      </c>
      <c r="B1748" t="s">
        <v>100</v>
      </c>
    </row>
    <row r="1749" spans="1:2" x14ac:dyDescent="0.3">
      <c r="A1749" t="s">
        <v>1545</v>
      </c>
      <c r="B1749" t="s">
        <v>100</v>
      </c>
    </row>
    <row r="1750" spans="1:2" x14ac:dyDescent="0.3">
      <c r="A1750" t="s">
        <v>1546</v>
      </c>
      <c r="B1750" t="s">
        <v>100</v>
      </c>
    </row>
    <row r="1751" spans="1:2" x14ac:dyDescent="0.3">
      <c r="A1751" t="s">
        <v>1547</v>
      </c>
      <c r="B1751" t="s">
        <v>139</v>
      </c>
    </row>
    <row r="1752" spans="1:2" x14ac:dyDescent="0.3">
      <c r="A1752" t="s">
        <v>1548</v>
      </c>
      <c r="B1752" t="s">
        <v>139</v>
      </c>
    </row>
    <row r="1753" spans="1:2" x14ac:dyDescent="0.3">
      <c r="A1753" t="s">
        <v>1549</v>
      </c>
      <c r="B1753" t="s">
        <v>139</v>
      </c>
    </row>
    <row r="1754" spans="1:2" x14ac:dyDescent="0.3">
      <c r="A1754" t="s">
        <v>1550</v>
      </c>
      <c r="B1754" t="s">
        <v>139</v>
      </c>
    </row>
    <row r="1755" spans="1:2" x14ac:dyDescent="0.3">
      <c r="A1755" t="s">
        <v>1551</v>
      </c>
      <c r="B1755" t="s">
        <v>139</v>
      </c>
    </row>
    <row r="1756" spans="1:2" x14ac:dyDescent="0.3">
      <c r="B1756" t="s">
        <v>139</v>
      </c>
    </row>
    <row r="1757" spans="1:2" x14ac:dyDescent="0.3">
      <c r="A1757" t="s">
        <v>1552</v>
      </c>
      <c r="B1757" t="s">
        <v>139</v>
      </c>
    </row>
    <row r="1758" spans="1:2" x14ac:dyDescent="0.3">
      <c r="B1758" t="s">
        <v>139</v>
      </c>
    </row>
    <row r="1759" spans="1:2" x14ac:dyDescent="0.3">
      <c r="B1759" t="s">
        <v>139</v>
      </c>
    </row>
    <row r="1760" spans="1:2" x14ac:dyDescent="0.3">
      <c r="A1760" t="s">
        <v>1553</v>
      </c>
      <c r="B1760" t="s">
        <v>139</v>
      </c>
    </row>
    <row r="1761" spans="1:2" x14ac:dyDescent="0.3">
      <c r="A1761" t="s">
        <v>1554</v>
      </c>
      <c r="B1761" t="s">
        <v>139</v>
      </c>
    </row>
    <row r="1762" spans="1:2" x14ac:dyDescent="0.3">
      <c r="A1762" t="s">
        <v>1555</v>
      </c>
      <c r="B1762" t="s">
        <v>139</v>
      </c>
    </row>
    <row r="1763" spans="1:2" x14ac:dyDescent="0.3">
      <c r="A1763" t="s">
        <v>1556</v>
      </c>
      <c r="B1763" t="s">
        <v>139</v>
      </c>
    </row>
    <row r="1764" spans="1:2" x14ac:dyDescent="0.3">
      <c r="A1764" t="s">
        <v>1557</v>
      </c>
      <c r="B1764" t="s">
        <v>139</v>
      </c>
    </row>
    <row r="1765" spans="1:2" x14ac:dyDescent="0.3">
      <c r="A1765" t="s">
        <v>1558</v>
      </c>
      <c r="B1765" t="s">
        <v>139</v>
      </c>
    </row>
    <row r="1766" spans="1:2" x14ac:dyDescent="0.3">
      <c r="A1766" t="s">
        <v>1559</v>
      </c>
      <c r="B1766" t="s">
        <v>139</v>
      </c>
    </row>
    <row r="1767" spans="1:2" x14ac:dyDescent="0.3">
      <c r="A1767" t="s">
        <v>1560</v>
      </c>
      <c r="B1767" t="s">
        <v>1</v>
      </c>
    </row>
    <row r="1768" spans="1:2" x14ac:dyDescent="0.3">
      <c r="A1768" t="s">
        <v>1561</v>
      </c>
      <c r="B1768" t="s">
        <v>139</v>
      </c>
    </row>
    <row r="1769" spans="1:2" x14ac:dyDescent="0.3">
      <c r="A1769" t="s">
        <v>1562</v>
      </c>
      <c r="B1769" t="s">
        <v>139</v>
      </c>
    </row>
    <row r="1770" spans="1:2" x14ac:dyDescent="0.3">
      <c r="A1770" t="s">
        <v>1563</v>
      </c>
      <c r="B1770" t="s">
        <v>139</v>
      </c>
    </row>
    <row r="1771" spans="1:2" x14ac:dyDescent="0.3">
      <c r="A1771" t="s">
        <v>1564</v>
      </c>
      <c r="B1771" t="s">
        <v>139</v>
      </c>
    </row>
    <row r="1772" spans="1:2" x14ac:dyDescent="0.3">
      <c r="A1772" t="s">
        <v>1565</v>
      </c>
      <c r="B1772" t="s">
        <v>139</v>
      </c>
    </row>
    <row r="1773" spans="1:2" x14ac:dyDescent="0.3">
      <c r="A1773" t="s">
        <v>1566</v>
      </c>
      <c r="B1773" t="s">
        <v>139</v>
      </c>
    </row>
    <row r="1774" spans="1:2" x14ac:dyDescent="0.3">
      <c r="A1774" t="s">
        <v>1567</v>
      </c>
      <c r="B1774" t="s">
        <v>139</v>
      </c>
    </row>
    <row r="1775" spans="1:2" x14ac:dyDescent="0.3">
      <c r="A1775" t="s">
        <v>1568</v>
      </c>
      <c r="B1775" t="s">
        <v>139</v>
      </c>
    </row>
    <row r="1776" spans="1:2" x14ac:dyDescent="0.3">
      <c r="A1776" t="s">
        <v>1569</v>
      </c>
      <c r="B1776" t="s">
        <v>139</v>
      </c>
    </row>
    <row r="1777" spans="1:2" x14ac:dyDescent="0.3">
      <c r="A1777" t="s">
        <v>1570</v>
      </c>
      <c r="B1777" t="s">
        <v>139</v>
      </c>
    </row>
    <row r="1778" spans="1:2" x14ac:dyDescent="0.3">
      <c r="A1778" t="s">
        <v>1571</v>
      </c>
      <c r="B1778" t="s">
        <v>139</v>
      </c>
    </row>
    <row r="1779" spans="1:2" x14ac:dyDescent="0.3">
      <c r="B1779" t="s">
        <v>139</v>
      </c>
    </row>
    <row r="1780" spans="1:2" x14ac:dyDescent="0.3">
      <c r="A1780" t="s">
        <v>1572</v>
      </c>
      <c r="B1780" t="s">
        <v>139</v>
      </c>
    </row>
    <row r="1781" spans="1:2" x14ac:dyDescent="0.3">
      <c r="A1781" t="s">
        <v>1573</v>
      </c>
      <c r="B1781" t="s">
        <v>139</v>
      </c>
    </row>
    <row r="1782" spans="1:2" x14ac:dyDescent="0.3">
      <c r="A1782" t="s">
        <v>1574</v>
      </c>
      <c r="B1782" t="s">
        <v>139</v>
      </c>
    </row>
    <row r="1783" spans="1:2" x14ac:dyDescent="0.3">
      <c r="A1783" t="s">
        <v>1575</v>
      </c>
      <c r="B1783" t="s">
        <v>139</v>
      </c>
    </row>
    <row r="1784" spans="1:2" x14ac:dyDescent="0.3">
      <c r="A1784" t="s">
        <v>1576</v>
      </c>
      <c r="B1784" t="s">
        <v>139</v>
      </c>
    </row>
    <row r="1785" spans="1:2" x14ac:dyDescent="0.3">
      <c r="A1785" t="s">
        <v>1577</v>
      </c>
      <c r="B1785" t="s">
        <v>139</v>
      </c>
    </row>
    <row r="1786" spans="1:2" x14ac:dyDescent="0.3">
      <c r="A1786" t="s">
        <v>1578</v>
      </c>
      <c r="B1786" t="s">
        <v>139</v>
      </c>
    </row>
    <row r="1787" spans="1:2" x14ac:dyDescent="0.3">
      <c r="A1787" t="s">
        <v>1579</v>
      </c>
      <c r="B1787" t="s">
        <v>139</v>
      </c>
    </row>
    <row r="1788" spans="1:2" x14ac:dyDescent="0.3">
      <c r="A1788" t="s">
        <v>1580</v>
      </c>
      <c r="B1788" t="s">
        <v>139</v>
      </c>
    </row>
    <row r="1789" spans="1:2" x14ac:dyDescent="0.3">
      <c r="A1789" t="s">
        <v>1581</v>
      </c>
      <c r="B1789" t="s">
        <v>139</v>
      </c>
    </row>
    <row r="1790" spans="1:2" x14ac:dyDescent="0.3">
      <c r="A1790" t="s">
        <v>1582</v>
      </c>
      <c r="B1790" t="s">
        <v>139</v>
      </c>
    </row>
    <row r="1791" spans="1:2" x14ac:dyDescent="0.3">
      <c r="A1791" t="s">
        <v>139</v>
      </c>
      <c r="B1791" t="s">
        <v>139</v>
      </c>
    </row>
    <row r="1792" spans="1:2" x14ac:dyDescent="0.3">
      <c r="A1792" t="s">
        <v>1583</v>
      </c>
      <c r="B1792" t="s">
        <v>139</v>
      </c>
    </row>
    <row r="1793" spans="1:2" x14ac:dyDescent="0.3">
      <c r="A1793" t="s">
        <v>1584</v>
      </c>
      <c r="B1793" t="s">
        <v>139</v>
      </c>
    </row>
    <row r="1794" spans="1:2" x14ac:dyDescent="0.3">
      <c r="A1794" t="s">
        <v>1585</v>
      </c>
      <c r="B1794" t="s">
        <v>139</v>
      </c>
    </row>
    <row r="1795" spans="1:2" x14ac:dyDescent="0.3">
      <c r="A1795" t="s">
        <v>102</v>
      </c>
      <c r="B1795" t="s">
        <v>139</v>
      </c>
    </row>
    <row r="1796" spans="1:2" x14ac:dyDescent="0.3">
      <c r="A1796" t="s">
        <v>1586</v>
      </c>
      <c r="B1796" t="s">
        <v>139</v>
      </c>
    </row>
    <row r="1797" spans="1:2" x14ac:dyDescent="0.3">
      <c r="A1797" t="s">
        <v>1587</v>
      </c>
      <c r="B1797" t="s">
        <v>139</v>
      </c>
    </row>
    <row r="1798" spans="1:2" x14ac:dyDescent="0.3">
      <c r="A1798" t="s">
        <v>1588</v>
      </c>
      <c r="B1798" t="s">
        <v>139</v>
      </c>
    </row>
    <row r="1799" spans="1:2" x14ac:dyDescent="0.3">
      <c r="A1799" t="s">
        <v>1589</v>
      </c>
      <c r="B1799" t="s">
        <v>139</v>
      </c>
    </row>
    <row r="1800" spans="1:2" x14ac:dyDescent="0.3">
      <c r="A1800" t="s">
        <v>1590</v>
      </c>
      <c r="B1800" t="s">
        <v>139</v>
      </c>
    </row>
    <row r="1801" spans="1:2" x14ac:dyDescent="0.3">
      <c r="A1801" t="s">
        <v>1591</v>
      </c>
      <c r="B1801" t="s">
        <v>139</v>
      </c>
    </row>
    <row r="1802" spans="1:2" x14ac:dyDescent="0.3">
      <c r="A1802" t="s">
        <v>1592</v>
      </c>
      <c r="B1802" t="s">
        <v>139</v>
      </c>
    </row>
    <row r="1803" spans="1:2" x14ac:dyDescent="0.3">
      <c r="A1803" t="s">
        <v>1593</v>
      </c>
      <c r="B1803" t="s">
        <v>139</v>
      </c>
    </row>
    <row r="1804" spans="1:2" x14ac:dyDescent="0.3">
      <c r="A1804" t="s">
        <v>1594</v>
      </c>
      <c r="B1804" t="s">
        <v>139</v>
      </c>
    </row>
    <row r="1805" spans="1:2" x14ac:dyDescent="0.3">
      <c r="A1805" t="s">
        <v>1595</v>
      </c>
      <c r="B1805" t="s">
        <v>139</v>
      </c>
    </row>
    <row r="1806" spans="1:2" x14ac:dyDescent="0.3">
      <c r="A1806" t="s">
        <v>1596</v>
      </c>
      <c r="B1806" t="s">
        <v>139</v>
      </c>
    </row>
    <row r="1807" spans="1:2" x14ac:dyDescent="0.3">
      <c r="A1807" t="s">
        <v>1597</v>
      </c>
      <c r="B1807" t="s">
        <v>139</v>
      </c>
    </row>
    <row r="1808" spans="1:2" x14ac:dyDescent="0.3">
      <c r="B1808" t="s">
        <v>139</v>
      </c>
    </row>
    <row r="1809" spans="1:2" x14ac:dyDescent="0.3">
      <c r="A1809" t="s">
        <v>1598</v>
      </c>
      <c r="B1809" t="s">
        <v>139</v>
      </c>
    </row>
    <row r="1810" spans="1:2" x14ac:dyDescent="0.3">
      <c r="A1810" t="s">
        <v>1599</v>
      </c>
      <c r="B1810" t="s">
        <v>139</v>
      </c>
    </row>
    <row r="1811" spans="1:2" x14ac:dyDescent="0.3">
      <c r="B1811" t="s">
        <v>139</v>
      </c>
    </row>
    <row r="1812" spans="1:2" x14ac:dyDescent="0.3">
      <c r="A1812" t="s">
        <v>1600</v>
      </c>
      <c r="B1812" t="s">
        <v>139</v>
      </c>
    </row>
    <row r="1813" spans="1:2" x14ac:dyDescent="0.3">
      <c r="A1813" t="s">
        <v>1601</v>
      </c>
      <c r="B1813" t="s">
        <v>139</v>
      </c>
    </row>
    <row r="1814" spans="1:2" x14ac:dyDescent="0.3">
      <c r="A1814" t="s">
        <v>1602</v>
      </c>
      <c r="B1814" t="s">
        <v>139</v>
      </c>
    </row>
    <row r="1815" spans="1:2" x14ac:dyDescent="0.3">
      <c r="A1815" t="s">
        <v>1603</v>
      </c>
      <c r="B1815" t="s">
        <v>139</v>
      </c>
    </row>
    <row r="1816" spans="1:2" x14ac:dyDescent="0.3">
      <c r="A1816" t="s">
        <v>1604</v>
      </c>
      <c r="B1816" t="s">
        <v>139</v>
      </c>
    </row>
    <row r="1817" spans="1:2" x14ac:dyDescent="0.3">
      <c r="A1817" t="s">
        <v>1605</v>
      </c>
      <c r="B1817" t="s">
        <v>139</v>
      </c>
    </row>
    <row r="1818" spans="1:2" x14ac:dyDescent="0.3">
      <c r="A1818" t="s">
        <v>1606</v>
      </c>
      <c r="B1818" t="s">
        <v>139</v>
      </c>
    </row>
    <row r="1819" spans="1:2" x14ac:dyDescent="0.3">
      <c r="A1819" t="s">
        <v>138</v>
      </c>
      <c r="B1819" t="s">
        <v>139</v>
      </c>
    </row>
    <row r="1820" spans="1:2" x14ac:dyDescent="0.3">
      <c r="A1820" t="s">
        <v>1607</v>
      </c>
      <c r="B1820" t="s">
        <v>139</v>
      </c>
    </row>
    <row r="1821" spans="1:2" x14ac:dyDescent="0.3">
      <c r="A1821" t="s">
        <v>1608</v>
      </c>
      <c r="B1821" t="s">
        <v>139</v>
      </c>
    </row>
    <row r="1822" spans="1:2" x14ac:dyDescent="0.3">
      <c r="A1822" t="s">
        <v>1609</v>
      </c>
      <c r="B1822" t="s">
        <v>139</v>
      </c>
    </row>
    <row r="1823" spans="1:2" x14ac:dyDescent="0.3">
      <c r="A1823" t="s">
        <v>1610</v>
      </c>
      <c r="B1823" t="s">
        <v>139</v>
      </c>
    </row>
    <row r="1824" spans="1:2" x14ac:dyDescent="0.3">
      <c r="A1824" t="s">
        <v>1611</v>
      </c>
      <c r="B1824" t="s">
        <v>139</v>
      </c>
    </row>
    <row r="1825" spans="1:2" x14ac:dyDescent="0.3">
      <c r="A1825" t="s">
        <v>1612</v>
      </c>
      <c r="B1825" t="s">
        <v>139</v>
      </c>
    </row>
    <row r="1826" spans="1:2" x14ac:dyDescent="0.3">
      <c r="B1826" t="s">
        <v>139</v>
      </c>
    </row>
    <row r="1827" spans="1:2" x14ac:dyDescent="0.3">
      <c r="A1827" t="s">
        <v>1613</v>
      </c>
      <c r="B1827" t="s">
        <v>1614</v>
      </c>
    </row>
    <row r="1828" spans="1:2" x14ac:dyDescent="0.3">
      <c r="B1828" t="s">
        <v>1614</v>
      </c>
    </row>
    <row r="1829" spans="1:2" x14ac:dyDescent="0.3">
      <c r="B1829" t="s">
        <v>1614</v>
      </c>
    </row>
    <row r="1830" spans="1:2" x14ac:dyDescent="0.3">
      <c r="A1830" t="s">
        <v>1615</v>
      </c>
      <c r="B1830" t="s">
        <v>1614</v>
      </c>
    </row>
    <row r="1831" spans="1:2" x14ac:dyDescent="0.3">
      <c r="A1831" t="s">
        <v>1616</v>
      </c>
      <c r="B1831" t="s">
        <v>1614</v>
      </c>
    </row>
    <row r="1832" spans="1:2" x14ac:dyDescent="0.3">
      <c r="A1832" t="s">
        <v>1617</v>
      </c>
      <c r="B1832" t="s">
        <v>258</v>
      </c>
    </row>
    <row r="1833" spans="1:2" x14ac:dyDescent="0.3">
      <c r="A1833" t="s">
        <v>1618</v>
      </c>
      <c r="B1833" t="s">
        <v>258</v>
      </c>
    </row>
    <row r="1834" spans="1:2" x14ac:dyDescent="0.3">
      <c r="A1834" t="s">
        <v>1619</v>
      </c>
      <c r="B1834" t="s">
        <v>258</v>
      </c>
    </row>
    <row r="1835" spans="1:2" x14ac:dyDescent="0.3">
      <c r="A1835" t="s">
        <v>1620</v>
      </c>
      <c r="B1835" t="s">
        <v>258</v>
      </c>
    </row>
    <row r="1836" spans="1:2" x14ac:dyDescent="0.3">
      <c r="A1836" t="s">
        <v>1621</v>
      </c>
      <c r="B1836" t="s">
        <v>258</v>
      </c>
    </row>
    <row r="1837" spans="1:2" x14ac:dyDescent="0.3">
      <c r="B1837" t="s">
        <v>258</v>
      </c>
    </row>
    <row r="1838" spans="1:2" x14ac:dyDescent="0.3">
      <c r="A1838" t="s">
        <v>141</v>
      </c>
      <c r="B1838" t="s">
        <v>258</v>
      </c>
    </row>
    <row r="1839" spans="1:2" x14ac:dyDescent="0.3">
      <c r="B1839" t="s">
        <v>1622</v>
      </c>
    </row>
    <row r="1840" spans="1:2" x14ac:dyDescent="0.3">
      <c r="A1840" t="s">
        <v>1623</v>
      </c>
      <c r="B1840" t="s">
        <v>1</v>
      </c>
    </row>
    <row r="1841" spans="1:2" x14ac:dyDescent="0.3">
      <c r="A1841" t="s">
        <v>1624</v>
      </c>
      <c r="B1841" t="s">
        <v>1622</v>
      </c>
    </row>
    <row r="1842" spans="1:2" x14ac:dyDescent="0.3">
      <c r="B1842" t="s">
        <v>1622</v>
      </c>
    </row>
    <row r="1843" spans="1:2" x14ac:dyDescent="0.3">
      <c r="B1843" t="s">
        <v>1</v>
      </c>
    </row>
    <row r="1844" spans="1:2" x14ac:dyDescent="0.3">
      <c r="B1844" t="s">
        <v>1622</v>
      </c>
    </row>
    <row r="1845" spans="1:2" x14ac:dyDescent="0.3">
      <c r="B1845" t="s">
        <v>1622</v>
      </c>
    </row>
    <row r="1846" spans="1:2" x14ac:dyDescent="0.3">
      <c r="A1846" t="s">
        <v>1625</v>
      </c>
      <c r="B1846" t="s">
        <v>1622</v>
      </c>
    </row>
    <row r="1847" spans="1:2" x14ac:dyDescent="0.3">
      <c r="B1847" t="s">
        <v>1622</v>
      </c>
    </row>
    <row r="1848" spans="1:2" x14ac:dyDescent="0.3">
      <c r="A1848" t="s">
        <v>1626</v>
      </c>
      <c r="B1848" t="s">
        <v>1622</v>
      </c>
    </row>
    <row r="1849" spans="1:2" x14ac:dyDescent="0.3">
      <c r="B1849" t="s">
        <v>1622</v>
      </c>
    </row>
    <row r="1850" spans="1:2" x14ac:dyDescent="0.3">
      <c r="A1850" t="s">
        <v>1627</v>
      </c>
      <c r="B1850" t="s">
        <v>1622</v>
      </c>
    </row>
    <row r="1851" spans="1:2" x14ac:dyDescent="0.3">
      <c r="A1851" t="s">
        <v>1628</v>
      </c>
      <c r="B1851" t="s">
        <v>1622</v>
      </c>
    </row>
    <row r="1852" spans="1:2" x14ac:dyDescent="0.3">
      <c r="A1852" t="s">
        <v>1629</v>
      </c>
      <c r="B1852" t="s">
        <v>1622</v>
      </c>
    </row>
    <row r="1853" spans="1:2" x14ac:dyDescent="0.3">
      <c r="B1853" t="s">
        <v>1622</v>
      </c>
    </row>
    <row r="1854" spans="1:2" x14ac:dyDescent="0.3">
      <c r="A1854" t="s">
        <v>1630</v>
      </c>
      <c r="B1854" t="s">
        <v>1622</v>
      </c>
    </row>
    <row r="1855" spans="1:2" x14ac:dyDescent="0.3">
      <c r="A1855" t="s">
        <v>1631</v>
      </c>
      <c r="B1855" t="s">
        <v>1622</v>
      </c>
    </row>
    <row r="1856" spans="1:2" x14ac:dyDescent="0.3">
      <c r="B1856" t="s">
        <v>1622</v>
      </c>
    </row>
    <row r="1857" spans="1:2" x14ac:dyDescent="0.3">
      <c r="B1857" t="s">
        <v>1622</v>
      </c>
    </row>
    <row r="1858" spans="1:2" x14ac:dyDescent="0.3">
      <c r="A1858" t="s">
        <v>211</v>
      </c>
      <c r="B1858" t="s">
        <v>262</v>
      </c>
    </row>
    <row r="1859" spans="1:2" x14ac:dyDescent="0.3">
      <c r="B1859" t="s">
        <v>262</v>
      </c>
    </row>
    <row r="1860" spans="1:2" x14ac:dyDescent="0.3">
      <c r="B1860" t="s">
        <v>1632</v>
      </c>
    </row>
    <row r="1861" spans="1:2" x14ac:dyDescent="0.3">
      <c r="A1861" t="s">
        <v>1633</v>
      </c>
      <c r="B1861" t="s">
        <v>1632</v>
      </c>
    </row>
    <row r="1862" spans="1:2" x14ac:dyDescent="0.3">
      <c r="B1862" t="s">
        <v>1632</v>
      </c>
    </row>
    <row r="1863" spans="1:2" x14ac:dyDescent="0.3">
      <c r="A1863" t="s">
        <v>1634</v>
      </c>
      <c r="B1863" t="s">
        <v>1632</v>
      </c>
    </row>
    <row r="1864" spans="1:2" x14ac:dyDescent="0.3">
      <c r="A1864" t="s">
        <v>1635</v>
      </c>
      <c r="B1864" t="s">
        <v>1636</v>
      </c>
    </row>
    <row r="1865" spans="1:2" x14ac:dyDescent="0.3">
      <c r="A1865" t="s">
        <v>1637</v>
      </c>
      <c r="B1865" t="s">
        <v>1636</v>
      </c>
    </row>
    <row r="1866" spans="1:2" x14ac:dyDescent="0.3">
      <c r="A1866" t="s">
        <v>1638</v>
      </c>
      <c r="B1866" t="s">
        <v>1636</v>
      </c>
    </row>
    <row r="1867" spans="1:2" x14ac:dyDescent="0.3">
      <c r="B1867" t="s">
        <v>1636</v>
      </c>
    </row>
    <row r="1868" spans="1:2" x14ac:dyDescent="0.3">
      <c r="A1868" t="s">
        <v>1639</v>
      </c>
      <c r="B1868" t="s">
        <v>1636</v>
      </c>
    </row>
    <row r="1869" spans="1:2" x14ac:dyDescent="0.3">
      <c r="A1869" t="s">
        <v>1640</v>
      </c>
      <c r="B1869" t="s">
        <v>1636</v>
      </c>
    </row>
    <row r="1870" spans="1:2" x14ac:dyDescent="0.3">
      <c r="A1870" t="s">
        <v>1641</v>
      </c>
      <c r="B1870" t="s">
        <v>1636</v>
      </c>
    </row>
    <row r="1871" spans="1:2" x14ac:dyDescent="0.3">
      <c r="A1871" t="s">
        <v>1642</v>
      </c>
      <c r="B1871" t="s">
        <v>1636</v>
      </c>
    </row>
    <row r="1872" spans="1:2" x14ac:dyDescent="0.3">
      <c r="B1872" t="s">
        <v>1636</v>
      </c>
    </row>
    <row r="1873" spans="1:2" x14ac:dyDescent="0.3">
      <c r="B1873" t="s">
        <v>1636</v>
      </c>
    </row>
    <row r="1874" spans="1:2" x14ac:dyDescent="0.3">
      <c r="A1874" t="s">
        <v>1643</v>
      </c>
      <c r="B1874" t="s">
        <v>1636</v>
      </c>
    </row>
    <row r="1875" spans="1:2" x14ac:dyDescent="0.3">
      <c r="A1875" t="s">
        <v>1644</v>
      </c>
      <c r="B1875" t="s">
        <v>1636</v>
      </c>
    </row>
    <row r="1876" spans="1:2" x14ac:dyDescent="0.3">
      <c r="A1876" t="s">
        <v>1645</v>
      </c>
      <c r="B1876" t="s">
        <v>1636</v>
      </c>
    </row>
    <row r="1877" spans="1:2" x14ac:dyDescent="0.3">
      <c r="A1877" t="s">
        <v>1646</v>
      </c>
      <c r="B1877" t="s">
        <v>1636</v>
      </c>
    </row>
    <row r="1878" spans="1:2" x14ac:dyDescent="0.3">
      <c r="A1878" t="s">
        <v>1647</v>
      </c>
      <c r="B1878" t="s">
        <v>1636</v>
      </c>
    </row>
    <row r="1879" spans="1:2" x14ac:dyDescent="0.3">
      <c r="A1879" t="s">
        <v>1648</v>
      </c>
      <c r="B1879" t="s">
        <v>1636</v>
      </c>
    </row>
    <row r="1880" spans="1:2" x14ac:dyDescent="0.3">
      <c r="A1880" t="s">
        <v>1649</v>
      </c>
      <c r="B1880" t="s">
        <v>1636</v>
      </c>
    </row>
    <row r="1881" spans="1:2" x14ac:dyDescent="0.3">
      <c r="B1881" t="s">
        <v>1636</v>
      </c>
    </row>
    <row r="1882" spans="1:2" x14ac:dyDescent="0.3">
      <c r="B1882" t="s">
        <v>1636</v>
      </c>
    </row>
    <row r="1883" spans="1:2" x14ac:dyDescent="0.3">
      <c r="B1883" t="s">
        <v>1636</v>
      </c>
    </row>
    <row r="1884" spans="1:2" x14ac:dyDescent="0.3">
      <c r="A1884" t="s">
        <v>1650</v>
      </c>
      <c r="B1884" t="s">
        <v>1636</v>
      </c>
    </row>
    <row r="1885" spans="1:2" x14ac:dyDescent="0.3">
      <c r="B1885" t="s">
        <v>1636</v>
      </c>
    </row>
    <row r="1886" spans="1:2" x14ac:dyDescent="0.3">
      <c r="B1886" t="s">
        <v>1636</v>
      </c>
    </row>
    <row r="1887" spans="1:2" x14ac:dyDescent="0.3">
      <c r="B1887" t="s">
        <v>1636</v>
      </c>
    </row>
    <row r="1888" spans="1:2" x14ac:dyDescent="0.3">
      <c r="A1888" t="s">
        <v>1651</v>
      </c>
      <c r="B1888" t="s">
        <v>1</v>
      </c>
    </row>
    <row r="1889" spans="1:2" x14ac:dyDescent="0.3">
      <c r="A1889" t="s">
        <v>1652</v>
      </c>
      <c r="B1889" t="s">
        <v>1636</v>
      </c>
    </row>
    <row r="1890" spans="1:2" x14ac:dyDescent="0.3">
      <c r="A1890" t="s">
        <v>1653</v>
      </c>
      <c r="B1890" t="s">
        <v>1636</v>
      </c>
    </row>
    <row r="1891" spans="1:2" x14ac:dyDescent="0.3">
      <c r="A1891" t="s">
        <v>1654</v>
      </c>
      <c r="B1891" t="s">
        <v>1655</v>
      </c>
    </row>
    <row r="1892" spans="1:2" x14ac:dyDescent="0.3">
      <c r="A1892" t="s">
        <v>1656</v>
      </c>
      <c r="B1892" t="s">
        <v>1655</v>
      </c>
    </row>
    <row r="1893" spans="1:2" x14ac:dyDescent="0.3">
      <c r="B1893" t="s">
        <v>260</v>
      </c>
    </row>
    <row r="1894" spans="1:2" x14ac:dyDescent="0.3">
      <c r="A1894" t="s">
        <v>1657</v>
      </c>
      <c r="B1894" t="s">
        <v>260</v>
      </c>
    </row>
    <row r="1895" spans="1:2" x14ac:dyDescent="0.3">
      <c r="A1895" t="s">
        <v>1658</v>
      </c>
      <c r="B1895" t="s">
        <v>260</v>
      </c>
    </row>
    <row r="1896" spans="1:2" x14ac:dyDescent="0.3">
      <c r="A1896" t="s">
        <v>1659</v>
      </c>
      <c r="B1896" t="s">
        <v>260</v>
      </c>
    </row>
    <row r="1897" spans="1:2" x14ac:dyDescent="0.3">
      <c r="A1897" t="s">
        <v>1660</v>
      </c>
      <c r="B1897" t="s">
        <v>260</v>
      </c>
    </row>
    <row r="1898" spans="1:2" x14ac:dyDescent="0.3">
      <c r="B1898" t="s">
        <v>260</v>
      </c>
    </row>
    <row r="1899" spans="1:2" x14ac:dyDescent="0.3">
      <c r="A1899" t="s">
        <v>1661</v>
      </c>
      <c r="B1899" t="s">
        <v>260</v>
      </c>
    </row>
    <row r="1900" spans="1:2" x14ac:dyDescent="0.3">
      <c r="A1900" t="s">
        <v>1662</v>
      </c>
      <c r="B1900" t="s">
        <v>260</v>
      </c>
    </row>
    <row r="1901" spans="1:2" x14ac:dyDescent="0.3">
      <c r="B1901" t="s">
        <v>260</v>
      </c>
    </row>
    <row r="1902" spans="1:2" x14ac:dyDescent="0.3">
      <c r="A1902" t="s">
        <v>1663</v>
      </c>
      <c r="B1902" t="s">
        <v>260</v>
      </c>
    </row>
    <row r="1903" spans="1:2" x14ac:dyDescent="0.3">
      <c r="A1903" t="s">
        <v>1664</v>
      </c>
      <c r="B1903" t="s">
        <v>1</v>
      </c>
    </row>
    <row r="1904" spans="1:2" x14ac:dyDescent="0.3">
      <c r="A1904" t="s">
        <v>1665</v>
      </c>
      <c r="B1904" t="s">
        <v>260</v>
      </c>
    </row>
    <row r="1905" spans="1:2" x14ac:dyDescent="0.3">
      <c r="B1905" t="s">
        <v>260</v>
      </c>
    </row>
    <row r="1906" spans="1:2" x14ac:dyDescent="0.3">
      <c r="A1906" t="s">
        <v>1666</v>
      </c>
      <c r="B1906" t="s">
        <v>260</v>
      </c>
    </row>
    <row r="1907" spans="1:2" x14ac:dyDescent="0.3">
      <c r="A1907" t="s">
        <v>1667</v>
      </c>
      <c r="B1907" t="s">
        <v>260</v>
      </c>
    </row>
    <row r="1908" spans="1:2" x14ac:dyDescent="0.3">
      <c r="B1908" t="s">
        <v>260</v>
      </c>
    </row>
    <row r="1909" spans="1:2" x14ac:dyDescent="0.3">
      <c r="A1909" t="s">
        <v>1668</v>
      </c>
      <c r="B1909" t="s">
        <v>260</v>
      </c>
    </row>
    <row r="1910" spans="1:2" x14ac:dyDescent="0.3">
      <c r="B1910" t="s">
        <v>260</v>
      </c>
    </row>
    <row r="1911" spans="1:2" x14ac:dyDescent="0.3">
      <c r="A1911" t="s">
        <v>1669</v>
      </c>
      <c r="B1911" t="s">
        <v>260</v>
      </c>
    </row>
    <row r="1912" spans="1:2" x14ac:dyDescent="0.3">
      <c r="A1912" t="s">
        <v>1670</v>
      </c>
      <c r="B1912" t="s">
        <v>260</v>
      </c>
    </row>
    <row r="1913" spans="1:2" x14ac:dyDescent="0.3">
      <c r="A1913" t="s">
        <v>1671</v>
      </c>
      <c r="B1913" t="s">
        <v>260</v>
      </c>
    </row>
    <row r="1914" spans="1:2" x14ac:dyDescent="0.3">
      <c r="A1914" t="s">
        <v>1672</v>
      </c>
      <c r="B1914" t="s">
        <v>260</v>
      </c>
    </row>
    <row r="1915" spans="1:2" x14ac:dyDescent="0.3">
      <c r="A1915" t="s">
        <v>1673</v>
      </c>
      <c r="B1915" t="s">
        <v>260</v>
      </c>
    </row>
    <row r="1916" spans="1:2" x14ac:dyDescent="0.3">
      <c r="A1916" t="s">
        <v>144</v>
      </c>
      <c r="B1916" t="s">
        <v>260</v>
      </c>
    </row>
    <row r="1917" spans="1:2" x14ac:dyDescent="0.3">
      <c r="B1917" t="s">
        <v>260</v>
      </c>
    </row>
    <row r="1918" spans="1:2" x14ac:dyDescent="0.3">
      <c r="B1918" t="s">
        <v>260</v>
      </c>
    </row>
    <row r="1919" spans="1:2" x14ac:dyDescent="0.3">
      <c r="A1919" t="s">
        <v>1674</v>
      </c>
      <c r="B1919" t="s">
        <v>260</v>
      </c>
    </row>
    <row r="1920" spans="1:2" x14ac:dyDescent="0.3">
      <c r="A1920" t="s">
        <v>1675</v>
      </c>
      <c r="B1920" t="s">
        <v>280</v>
      </c>
    </row>
    <row r="1921" spans="1:2" x14ac:dyDescent="0.3">
      <c r="A1921" t="s">
        <v>1676</v>
      </c>
      <c r="B1921" t="s">
        <v>1677</v>
      </c>
    </row>
    <row r="1922" spans="1:2" x14ac:dyDescent="0.3">
      <c r="A1922" t="s">
        <v>1678</v>
      </c>
      <c r="B1922" t="s">
        <v>1677</v>
      </c>
    </row>
    <row r="1923" spans="1:2" x14ac:dyDescent="0.3">
      <c r="A1923" t="s">
        <v>1679</v>
      </c>
      <c r="B1923" t="s">
        <v>1680</v>
      </c>
    </row>
    <row r="1924" spans="1:2" x14ac:dyDescent="0.3">
      <c r="A1924" t="s">
        <v>1681</v>
      </c>
      <c r="B1924" t="s">
        <v>1680</v>
      </c>
    </row>
    <row r="1925" spans="1:2" x14ac:dyDescent="0.3">
      <c r="A1925" t="s">
        <v>1682</v>
      </c>
      <c r="B1925" t="s">
        <v>1683</v>
      </c>
    </row>
    <row r="1926" spans="1:2" x14ac:dyDescent="0.3">
      <c r="A1926" t="s">
        <v>1684</v>
      </c>
      <c r="B1926" t="s">
        <v>1683</v>
      </c>
    </row>
    <row r="1927" spans="1:2" x14ac:dyDescent="0.3">
      <c r="A1927" t="s">
        <v>1685</v>
      </c>
      <c r="B1927" t="s">
        <v>739</v>
      </c>
    </row>
    <row r="1928" spans="1:2" x14ac:dyDescent="0.3">
      <c r="A1928" t="s">
        <v>1686</v>
      </c>
      <c r="B1928" t="s">
        <v>739</v>
      </c>
    </row>
    <row r="1929" spans="1:2" x14ac:dyDescent="0.3">
      <c r="A1929" t="s">
        <v>1687</v>
      </c>
      <c r="B1929" t="s">
        <v>171</v>
      </c>
    </row>
    <row r="1930" spans="1:2" x14ac:dyDescent="0.3">
      <c r="A1930" t="s">
        <v>1688</v>
      </c>
      <c r="B1930" t="s">
        <v>1689</v>
      </c>
    </row>
    <row r="1931" spans="1:2" x14ac:dyDescent="0.3">
      <c r="A1931" t="s">
        <v>1690</v>
      </c>
      <c r="B1931" t="s">
        <v>1691</v>
      </c>
    </row>
    <row r="1932" spans="1:2" x14ac:dyDescent="0.3">
      <c r="A1932" t="s">
        <v>1692</v>
      </c>
      <c r="B1932" t="s">
        <v>1691</v>
      </c>
    </row>
    <row r="1933" spans="1:2" x14ac:dyDescent="0.3">
      <c r="A1933" t="s">
        <v>1693</v>
      </c>
      <c r="B1933" t="s">
        <v>1694</v>
      </c>
    </row>
    <row r="1934" spans="1:2" x14ac:dyDescent="0.3">
      <c r="A1934" t="s">
        <v>1695</v>
      </c>
      <c r="B1934" t="s">
        <v>1694</v>
      </c>
    </row>
    <row r="1935" spans="1:2" x14ac:dyDescent="0.3">
      <c r="A1935" t="s">
        <v>1696</v>
      </c>
      <c r="B1935" t="s">
        <v>1694</v>
      </c>
    </row>
    <row r="1936" spans="1:2" x14ac:dyDescent="0.3">
      <c r="B1936" t="s">
        <v>1694</v>
      </c>
    </row>
    <row r="1937" spans="1:2" x14ac:dyDescent="0.3">
      <c r="A1937" t="s">
        <v>1697</v>
      </c>
      <c r="B1937" t="s">
        <v>1694</v>
      </c>
    </row>
    <row r="1938" spans="1:2" x14ac:dyDescent="0.3">
      <c r="A1938" t="s">
        <v>1698</v>
      </c>
      <c r="B1938" t="s">
        <v>1694</v>
      </c>
    </row>
    <row r="1939" spans="1:2" x14ac:dyDescent="0.3">
      <c r="A1939" t="s">
        <v>1699</v>
      </c>
      <c r="B1939" t="s">
        <v>1694</v>
      </c>
    </row>
    <row r="1940" spans="1:2" x14ac:dyDescent="0.3">
      <c r="A1940" t="s">
        <v>1700</v>
      </c>
      <c r="B1940" t="s">
        <v>1694</v>
      </c>
    </row>
    <row r="1941" spans="1:2" x14ac:dyDescent="0.3">
      <c r="A1941" t="s">
        <v>1701</v>
      </c>
      <c r="B1941" t="s">
        <v>1694</v>
      </c>
    </row>
    <row r="1942" spans="1:2" x14ac:dyDescent="0.3">
      <c r="A1942" t="s">
        <v>1702</v>
      </c>
      <c r="B1942" t="s">
        <v>1694</v>
      </c>
    </row>
    <row r="1943" spans="1:2" x14ac:dyDescent="0.3">
      <c r="A1943" t="s">
        <v>1703</v>
      </c>
      <c r="B1943" t="s">
        <v>1694</v>
      </c>
    </row>
    <row r="1944" spans="1:2" x14ac:dyDescent="0.3">
      <c r="A1944" t="s">
        <v>1704</v>
      </c>
      <c r="B1944" t="s">
        <v>1694</v>
      </c>
    </row>
    <row r="1945" spans="1:2" x14ac:dyDescent="0.3">
      <c r="A1945" t="s">
        <v>1705</v>
      </c>
      <c r="B1945" t="s">
        <v>1694</v>
      </c>
    </row>
    <row r="1946" spans="1:2" x14ac:dyDescent="0.3">
      <c r="A1946" t="s">
        <v>1706</v>
      </c>
      <c r="B1946" t="s">
        <v>1694</v>
      </c>
    </row>
    <row r="1947" spans="1:2" x14ac:dyDescent="0.3">
      <c r="A1947" t="s">
        <v>1707</v>
      </c>
      <c r="B1947" t="s">
        <v>1694</v>
      </c>
    </row>
    <row r="1948" spans="1:2" x14ac:dyDescent="0.3">
      <c r="A1948" t="s">
        <v>1708</v>
      </c>
      <c r="B1948" t="s">
        <v>1694</v>
      </c>
    </row>
    <row r="1949" spans="1:2" x14ac:dyDescent="0.3">
      <c r="A1949" t="s">
        <v>1709</v>
      </c>
      <c r="B1949" t="s">
        <v>1694</v>
      </c>
    </row>
    <row r="1950" spans="1:2" x14ac:dyDescent="0.3">
      <c r="A1950" t="s">
        <v>1710</v>
      </c>
      <c r="B1950" t="s">
        <v>1</v>
      </c>
    </row>
    <row r="1951" spans="1:2" x14ac:dyDescent="0.3">
      <c r="A1951" t="s">
        <v>1711</v>
      </c>
      <c r="B1951" t="s">
        <v>1694</v>
      </c>
    </row>
    <row r="1952" spans="1:2" x14ac:dyDescent="0.3">
      <c r="A1952" t="s">
        <v>1712</v>
      </c>
      <c r="B1952" t="s">
        <v>1694</v>
      </c>
    </row>
    <row r="1953" spans="1:2" x14ac:dyDescent="0.3">
      <c r="A1953" t="s">
        <v>1713</v>
      </c>
      <c r="B1953" t="s">
        <v>1694</v>
      </c>
    </row>
    <row r="1954" spans="1:2" x14ac:dyDescent="0.3">
      <c r="A1954" t="s">
        <v>992</v>
      </c>
      <c r="B1954" t="s">
        <v>1694</v>
      </c>
    </row>
    <row r="1955" spans="1:2" x14ac:dyDescent="0.3">
      <c r="A1955" t="s">
        <v>1714</v>
      </c>
      <c r="B1955" t="s">
        <v>1694</v>
      </c>
    </row>
    <row r="1956" spans="1:2" x14ac:dyDescent="0.3">
      <c r="A1956" t="s">
        <v>1715</v>
      </c>
      <c r="B1956" t="s">
        <v>1694</v>
      </c>
    </row>
    <row r="1957" spans="1:2" x14ac:dyDescent="0.3">
      <c r="A1957" t="s">
        <v>1716</v>
      </c>
      <c r="B1957" t="s">
        <v>1694</v>
      </c>
    </row>
    <row r="1958" spans="1:2" x14ac:dyDescent="0.3">
      <c r="A1958" t="s">
        <v>1717</v>
      </c>
      <c r="B1958" t="s">
        <v>1718</v>
      </c>
    </row>
    <row r="1959" spans="1:2" x14ac:dyDescent="0.3">
      <c r="A1959" t="s">
        <v>1719</v>
      </c>
      <c r="B1959" t="s">
        <v>690</v>
      </c>
    </row>
    <row r="1960" spans="1:2" x14ac:dyDescent="0.3">
      <c r="A1960" t="s">
        <v>1720</v>
      </c>
      <c r="B1960" t="s">
        <v>690</v>
      </c>
    </row>
    <row r="1961" spans="1:2" x14ac:dyDescent="0.3">
      <c r="A1961" t="s">
        <v>1721</v>
      </c>
      <c r="B1961" t="s">
        <v>690</v>
      </c>
    </row>
    <row r="1962" spans="1:2" x14ac:dyDescent="0.3">
      <c r="A1962" t="s">
        <v>1722</v>
      </c>
      <c r="B1962" t="s">
        <v>690</v>
      </c>
    </row>
    <row r="1963" spans="1:2" x14ac:dyDescent="0.3">
      <c r="A1963" t="s">
        <v>1723</v>
      </c>
      <c r="B1963" t="s">
        <v>690</v>
      </c>
    </row>
    <row r="1964" spans="1:2" x14ac:dyDescent="0.3">
      <c r="A1964" t="s">
        <v>1724</v>
      </c>
      <c r="B1964" t="s">
        <v>690</v>
      </c>
    </row>
    <row r="1965" spans="1:2" x14ac:dyDescent="0.3">
      <c r="A1965" t="s">
        <v>1725</v>
      </c>
      <c r="B1965" t="s">
        <v>690</v>
      </c>
    </row>
    <row r="1966" spans="1:2" x14ac:dyDescent="0.3">
      <c r="A1966" t="s">
        <v>1726</v>
      </c>
      <c r="B1966" t="s">
        <v>690</v>
      </c>
    </row>
    <row r="1967" spans="1:2" x14ac:dyDescent="0.3">
      <c r="A1967" t="s">
        <v>1727</v>
      </c>
      <c r="B1967" t="s">
        <v>1728</v>
      </c>
    </row>
    <row r="1968" spans="1:2" x14ac:dyDescent="0.3">
      <c r="A1968" t="s">
        <v>1729</v>
      </c>
      <c r="B1968" t="s">
        <v>1728</v>
      </c>
    </row>
    <row r="1969" spans="1:2" x14ac:dyDescent="0.3">
      <c r="A1969" t="s">
        <v>1730</v>
      </c>
      <c r="B1969" t="s">
        <v>1728</v>
      </c>
    </row>
    <row r="1970" spans="1:2" x14ac:dyDescent="0.3">
      <c r="A1970" t="s">
        <v>1731</v>
      </c>
      <c r="B1970" t="s">
        <v>1728</v>
      </c>
    </row>
    <row r="1971" spans="1:2" x14ac:dyDescent="0.3">
      <c r="A1971" t="s">
        <v>1732</v>
      </c>
      <c r="B1971" t="s">
        <v>1728</v>
      </c>
    </row>
    <row r="1972" spans="1:2" x14ac:dyDescent="0.3">
      <c r="A1972" t="s">
        <v>1733</v>
      </c>
      <c r="B1972" t="s">
        <v>1728</v>
      </c>
    </row>
    <row r="1973" spans="1:2" x14ac:dyDescent="0.3">
      <c r="A1973" t="s">
        <v>1734</v>
      </c>
      <c r="B1973" t="s">
        <v>1728</v>
      </c>
    </row>
    <row r="1974" spans="1:2" x14ac:dyDescent="0.3">
      <c r="A1974" t="s">
        <v>130</v>
      </c>
      <c r="B1974" t="s">
        <v>1728</v>
      </c>
    </row>
    <row r="1975" spans="1:2" x14ac:dyDescent="0.3">
      <c r="A1975" t="s">
        <v>1735</v>
      </c>
      <c r="B1975" t="s">
        <v>1728</v>
      </c>
    </row>
    <row r="1976" spans="1:2" x14ac:dyDescent="0.3">
      <c r="A1976" t="s">
        <v>1736</v>
      </c>
      <c r="B1976" t="s">
        <v>1728</v>
      </c>
    </row>
    <row r="1977" spans="1:2" x14ac:dyDescent="0.3">
      <c r="B1977" t="s">
        <v>1728</v>
      </c>
    </row>
    <row r="1978" spans="1:2" x14ac:dyDescent="0.3">
      <c r="A1978" t="s">
        <v>1737</v>
      </c>
      <c r="B1978" t="s">
        <v>1728</v>
      </c>
    </row>
    <row r="1979" spans="1:2" x14ac:dyDescent="0.3">
      <c r="A1979" t="s">
        <v>1738</v>
      </c>
      <c r="B1979" t="s">
        <v>1728</v>
      </c>
    </row>
    <row r="1980" spans="1:2" x14ac:dyDescent="0.3">
      <c r="A1980" t="s">
        <v>1739</v>
      </c>
      <c r="B1980" t="s">
        <v>1728</v>
      </c>
    </row>
    <row r="1981" spans="1:2" x14ac:dyDescent="0.3">
      <c r="A1981" t="s">
        <v>1740</v>
      </c>
      <c r="B1981" t="s">
        <v>1728</v>
      </c>
    </row>
    <row r="1982" spans="1:2" x14ac:dyDescent="0.3">
      <c r="A1982" t="s">
        <v>1741</v>
      </c>
      <c r="B1982" t="s">
        <v>1728</v>
      </c>
    </row>
    <row r="1983" spans="1:2" x14ac:dyDescent="0.3">
      <c r="A1983" t="s">
        <v>1742</v>
      </c>
      <c r="B1983" t="s">
        <v>1728</v>
      </c>
    </row>
    <row r="1984" spans="1:2" x14ac:dyDescent="0.3">
      <c r="A1984" t="s">
        <v>1743</v>
      </c>
      <c r="B1984" t="s">
        <v>1728</v>
      </c>
    </row>
    <row r="1985" spans="1:2" x14ac:dyDescent="0.3">
      <c r="A1985" t="s">
        <v>1744</v>
      </c>
      <c r="B1985" t="s">
        <v>1728</v>
      </c>
    </row>
    <row r="1986" spans="1:2" x14ac:dyDescent="0.3">
      <c r="A1986" t="s">
        <v>1745</v>
      </c>
      <c r="B1986" t="s">
        <v>1728</v>
      </c>
    </row>
    <row r="1987" spans="1:2" x14ac:dyDescent="0.3">
      <c r="B1987" t="s">
        <v>1728</v>
      </c>
    </row>
    <row r="1988" spans="1:2" x14ac:dyDescent="0.3">
      <c r="A1988" t="s">
        <v>1746</v>
      </c>
      <c r="B1988" t="s">
        <v>1728</v>
      </c>
    </row>
    <row r="1989" spans="1:2" x14ac:dyDescent="0.3">
      <c r="A1989" t="s">
        <v>1747</v>
      </c>
      <c r="B1989" t="s">
        <v>1728</v>
      </c>
    </row>
    <row r="1990" spans="1:2" x14ac:dyDescent="0.3">
      <c r="A1990" t="s">
        <v>1748</v>
      </c>
      <c r="B1990" t="s">
        <v>1728</v>
      </c>
    </row>
    <row r="1991" spans="1:2" x14ac:dyDescent="0.3">
      <c r="A1991" t="s">
        <v>1749</v>
      </c>
      <c r="B1991" t="s">
        <v>1728</v>
      </c>
    </row>
    <row r="1992" spans="1:2" x14ac:dyDescent="0.3">
      <c r="A1992" t="s">
        <v>1750</v>
      </c>
      <c r="B1992" t="s">
        <v>1728</v>
      </c>
    </row>
    <row r="1993" spans="1:2" x14ac:dyDescent="0.3">
      <c r="B1993" t="s">
        <v>1728</v>
      </c>
    </row>
    <row r="1994" spans="1:2" x14ac:dyDescent="0.3">
      <c r="B1994" t="s">
        <v>1751</v>
      </c>
    </row>
    <row r="1995" spans="1:2" x14ac:dyDescent="0.3">
      <c r="A1995" t="s">
        <v>1752</v>
      </c>
      <c r="B1995" t="s">
        <v>1728</v>
      </c>
    </row>
    <row r="1996" spans="1:2" x14ac:dyDescent="0.3">
      <c r="A1996" t="s">
        <v>1753</v>
      </c>
      <c r="B1996" t="s">
        <v>1728</v>
      </c>
    </row>
    <row r="1997" spans="1:2" x14ac:dyDescent="0.3">
      <c r="B1997" t="s">
        <v>1728</v>
      </c>
    </row>
    <row r="1998" spans="1:2" x14ac:dyDescent="0.3">
      <c r="A1998" t="s">
        <v>1754</v>
      </c>
      <c r="B1998" t="s">
        <v>1728</v>
      </c>
    </row>
    <row r="1999" spans="1:2" x14ac:dyDescent="0.3">
      <c r="B1999" t="s">
        <v>1751</v>
      </c>
    </row>
    <row r="2000" spans="1:2" x14ac:dyDescent="0.3">
      <c r="A2000" t="s">
        <v>1755</v>
      </c>
      <c r="B2000" t="s">
        <v>1728</v>
      </c>
    </row>
    <row r="2001" spans="1:2" x14ac:dyDescent="0.3">
      <c r="B2001" t="s">
        <v>1728</v>
      </c>
    </row>
    <row r="2002" spans="1:2" x14ac:dyDescent="0.3">
      <c r="A2002" t="s">
        <v>1756</v>
      </c>
      <c r="B2002" t="s">
        <v>1728</v>
      </c>
    </row>
    <row r="2003" spans="1:2" x14ac:dyDescent="0.3">
      <c r="A2003" t="s">
        <v>1757</v>
      </c>
      <c r="B2003" t="s">
        <v>1728</v>
      </c>
    </row>
    <row r="2004" spans="1:2" x14ac:dyDescent="0.3">
      <c r="B2004" t="s">
        <v>1728</v>
      </c>
    </row>
    <row r="2005" spans="1:2" x14ac:dyDescent="0.3">
      <c r="B2005" t="s">
        <v>1728</v>
      </c>
    </row>
    <row r="2006" spans="1:2" x14ac:dyDescent="0.3">
      <c r="A2006" t="s">
        <v>1758</v>
      </c>
      <c r="B2006" t="s">
        <v>1728</v>
      </c>
    </row>
    <row r="2007" spans="1:2" x14ac:dyDescent="0.3">
      <c r="A2007" t="s">
        <v>1759</v>
      </c>
      <c r="B2007" t="s">
        <v>1728</v>
      </c>
    </row>
    <row r="2008" spans="1:2" x14ac:dyDescent="0.3">
      <c r="A2008" t="s">
        <v>1760</v>
      </c>
      <c r="B2008" t="s">
        <v>1728</v>
      </c>
    </row>
    <row r="2009" spans="1:2" x14ac:dyDescent="0.3">
      <c r="A2009" t="s">
        <v>1761</v>
      </c>
      <c r="B2009" t="s">
        <v>1762</v>
      </c>
    </row>
    <row r="2010" spans="1:2" x14ac:dyDescent="0.3">
      <c r="A2010" t="s">
        <v>1763</v>
      </c>
      <c r="B2010" t="s">
        <v>1762</v>
      </c>
    </row>
    <row r="2011" spans="1:2" x14ac:dyDescent="0.3">
      <c r="A2011" t="s">
        <v>1764</v>
      </c>
      <c r="B2011" t="s">
        <v>1762</v>
      </c>
    </row>
    <row r="2012" spans="1:2" x14ac:dyDescent="0.3">
      <c r="A2012" t="s">
        <v>1765</v>
      </c>
      <c r="B2012" t="s">
        <v>1762</v>
      </c>
    </row>
    <row r="2013" spans="1:2" x14ac:dyDescent="0.3">
      <c r="A2013" t="s">
        <v>1766</v>
      </c>
      <c r="B2013" t="s">
        <v>1762</v>
      </c>
    </row>
    <row r="2014" spans="1:2" x14ac:dyDescent="0.3">
      <c r="A2014" t="s">
        <v>1767</v>
      </c>
      <c r="B2014" t="s">
        <v>1762</v>
      </c>
    </row>
    <row r="2015" spans="1:2" x14ac:dyDescent="0.3">
      <c r="B2015" t="s">
        <v>1762</v>
      </c>
    </row>
    <row r="2016" spans="1:2" x14ac:dyDescent="0.3">
      <c r="B2016" t="s">
        <v>1762</v>
      </c>
    </row>
    <row r="2017" spans="1:2" x14ac:dyDescent="0.3">
      <c r="A2017" t="s">
        <v>1768</v>
      </c>
      <c r="B2017" t="s">
        <v>1762</v>
      </c>
    </row>
    <row r="2018" spans="1:2" x14ac:dyDescent="0.3">
      <c r="A2018" t="s">
        <v>1769</v>
      </c>
      <c r="B2018" t="s">
        <v>1770</v>
      </c>
    </row>
    <row r="2019" spans="1:2" x14ac:dyDescent="0.3">
      <c r="B2019" t="s">
        <v>1770</v>
      </c>
    </row>
    <row r="2020" spans="1:2" x14ac:dyDescent="0.3">
      <c r="A2020" t="s">
        <v>1771</v>
      </c>
      <c r="B2020" t="s">
        <v>77</v>
      </c>
    </row>
    <row r="2021" spans="1:2" x14ac:dyDescent="0.3">
      <c r="A2021" t="s">
        <v>1772</v>
      </c>
      <c r="B2021" t="s">
        <v>77</v>
      </c>
    </row>
    <row r="2022" spans="1:2" x14ac:dyDescent="0.3">
      <c r="A2022" t="s">
        <v>1773</v>
      </c>
      <c r="B2022" t="s">
        <v>77</v>
      </c>
    </row>
    <row r="2023" spans="1:2" x14ac:dyDescent="0.3">
      <c r="A2023" t="s">
        <v>1774</v>
      </c>
      <c r="B2023" t="s">
        <v>77</v>
      </c>
    </row>
    <row r="2024" spans="1:2" x14ac:dyDescent="0.3">
      <c r="B2024" t="s">
        <v>77</v>
      </c>
    </row>
    <row r="2025" spans="1:2" x14ac:dyDescent="0.3">
      <c r="A2025" t="s">
        <v>1775</v>
      </c>
      <c r="B2025" t="s">
        <v>77</v>
      </c>
    </row>
    <row r="2026" spans="1:2" x14ac:dyDescent="0.3">
      <c r="A2026" t="s">
        <v>1776</v>
      </c>
      <c r="B2026" t="s">
        <v>77</v>
      </c>
    </row>
    <row r="2027" spans="1:2" x14ac:dyDescent="0.3">
      <c r="A2027" t="s">
        <v>1777</v>
      </c>
      <c r="B2027" t="s">
        <v>77</v>
      </c>
    </row>
    <row r="2028" spans="1:2" x14ac:dyDescent="0.3">
      <c r="A2028" t="s">
        <v>1778</v>
      </c>
      <c r="B2028" t="s">
        <v>77</v>
      </c>
    </row>
    <row r="2029" spans="1:2" x14ac:dyDescent="0.3">
      <c r="A2029" t="s">
        <v>1779</v>
      </c>
      <c r="B2029" t="s">
        <v>77</v>
      </c>
    </row>
    <row r="2030" spans="1:2" x14ac:dyDescent="0.3">
      <c r="A2030" t="s">
        <v>1780</v>
      </c>
      <c r="B2030" t="s">
        <v>77</v>
      </c>
    </row>
    <row r="2031" spans="1:2" x14ac:dyDescent="0.3">
      <c r="B2031" t="s">
        <v>77</v>
      </c>
    </row>
    <row r="2032" spans="1:2" x14ac:dyDescent="0.3">
      <c r="B2032" t="s">
        <v>77</v>
      </c>
    </row>
    <row r="2033" spans="1:2" x14ac:dyDescent="0.3">
      <c r="A2033" t="s">
        <v>76</v>
      </c>
      <c r="B2033" t="s">
        <v>77</v>
      </c>
    </row>
    <row r="2034" spans="1:2" x14ac:dyDescent="0.3">
      <c r="A2034" t="s">
        <v>1781</v>
      </c>
      <c r="B2034" t="s">
        <v>77</v>
      </c>
    </row>
    <row r="2035" spans="1:2" x14ac:dyDescent="0.3">
      <c r="A2035" t="s">
        <v>1782</v>
      </c>
      <c r="B2035" t="s">
        <v>77</v>
      </c>
    </row>
    <row r="2036" spans="1:2" x14ac:dyDescent="0.3">
      <c r="A2036" t="s">
        <v>1783</v>
      </c>
      <c r="B2036" t="s">
        <v>77</v>
      </c>
    </row>
    <row r="2037" spans="1:2" x14ac:dyDescent="0.3">
      <c r="A2037" t="s">
        <v>1784</v>
      </c>
      <c r="B2037" t="s">
        <v>77</v>
      </c>
    </row>
    <row r="2038" spans="1:2" x14ac:dyDescent="0.3">
      <c r="B2038" t="s">
        <v>77</v>
      </c>
    </row>
    <row r="2039" spans="1:2" x14ac:dyDescent="0.3">
      <c r="B2039" t="s">
        <v>77</v>
      </c>
    </row>
    <row r="2040" spans="1:2" x14ac:dyDescent="0.3">
      <c r="B2040" t="s">
        <v>77</v>
      </c>
    </row>
    <row r="2041" spans="1:2" x14ac:dyDescent="0.3">
      <c r="B2041" t="s">
        <v>77</v>
      </c>
    </row>
    <row r="2042" spans="1:2" x14ac:dyDescent="0.3">
      <c r="A2042" t="s">
        <v>1785</v>
      </c>
      <c r="B2042" t="s">
        <v>77</v>
      </c>
    </row>
    <row r="2043" spans="1:2" x14ac:dyDescent="0.3">
      <c r="A2043" t="s">
        <v>148</v>
      </c>
      <c r="B2043" t="s">
        <v>77</v>
      </c>
    </row>
    <row r="2044" spans="1:2" x14ac:dyDescent="0.3">
      <c r="B2044" t="s">
        <v>77</v>
      </c>
    </row>
    <row r="2045" spans="1:2" x14ac:dyDescent="0.3">
      <c r="A2045" t="s">
        <v>1786</v>
      </c>
      <c r="B2045" t="s">
        <v>77</v>
      </c>
    </row>
    <row r="2046" spans="1:2" x14ac:dyDescent="0.3">
      <c r="B2046" t="s">
        <v>77</v>
      </c>
    </row>
    <row r="2047" spans="1:2" x14ac:dyDescent="0.3">
      <c r="A2047" t="s">
        <v>1787</v>
      </c>
      <c r="B2047" t="s">
        <v>77</v>
      </c>
    </row>
    <row r="2048" spans="1:2" x14ac:dyDescent="0.3">
      <c r="A2048" t="s">
        <v>1788</v>
      </c>
      <c r="B2048" t="s">
        <v>171</v>
      </c>
    </row>
    <row r="2049" spans="1:2" x14ac:dyDescent="0.3">
      <c r="A2049" t="s">
        <v>1789</v>
      </c>
      <c r="B2049" t="s">
        <v>77</v>
      </c>
    </row>
    <row r="2050" spans="1:2" x14ac:dyDescent="0.3">
      <c r="A2050" t="s">
        <v>1790</v>
      </c>
      <c r="B2050" t="s">
        <v>77</v>
      </c>
    </row>
    <row r="2051" spans="1:2" x14ac:dyDescent="0.3">
      <c r="A2051" t="s">
        <v>1791</v>
      </c>
      <c r="B2051" t="s">
        <v>77</v>
      </c>
    </row>
    <row r="2052" spans="1:2" x14ac:dyDescent="0.3">
      <c r="B2052" t="s">
        <v>77</v>
      </c>
    </row>
    <row r="2053" spans="1:2" x14ac:dyDescent="0.3">
      <c r="B2053" t="s">
        <v>77</v>
      </c>
    </row>
    <row r="2054" spans="1:2" x14ac:dyDescent="0.3">
      <c r="A2054" t="s">
        <v>1792</v>
      </c>
      <c r="B2054" t="s">
        <v>77</v>
      </c>
    </row>
    <row r="2055" spans="1:2" x14ac:dyDescent="0.3">
      <c r="A2055" t="s">
        <v>1793</v>
      </c>
      <c r="B2055" t="s">
        <v>1</v>
      </c>
    </row>
    <row r="2056" spans="1:2" x14ac:dyDescent="0.3">
      <c r="A2056" t="s">
        <v>1794</v>
      </c>
      <c r="B2056" t="s">
        <v>77</v>
      </c>
    </row>
    <row r="2057" spans="1:2" x14ac:dyDescent="0.3">
      <c r="A2057" t="s">
        <v>1795</v>
      </c>
      <c r="B2057" t="s">
        <v>77</v>
      </c>
    </row>
    <row r="2058" spans="1:2" x14ac:dyDescent="0.3">
      <c r="A2058" t="s">
        <v>1796</v>
      </c>
      <c r="B2058" t="s">
        <v>184</v>
      </c>
    </row>
    <row r="2059" spans="1:2" x14ac:dyDescent="0.3">
      <c r="B2059" t="s">
        <v>184</v>
      </c>
    </row>
    <row r="2060" spans="1:2" x14ac:dyDescent="0.3">
      <c r="B2060" t="s">
        <v>184</v>
      </c>
    </row>
    <row r="2061" spans="1:2" x14ac:dyDescent="0.3">
      <c r="B2061" t="s">
        <v>184</v>
      </c>
    </row>
    <row r="2062" spans="1:2" x14ac:dyDescent="0.3">
      <c r="A2062" t="s">
        <v>1797</v>
      </c>
      <c r="B2062" t="s">
        <v>184</v>
      </c>
    </row>
    <row r="2063" spans="1:2" x14ac:dyDescent="0.3">
      <c r="B2063" t="s">
        <v>184</v>
      </c>
    </row>
    <row r="2064" spans="1:2" x14ac:dyDescent="0.3">
      <c r="A2064" t="s">
        <v>1798</v>
      </c>
      <c r="B2064" t="s">
        <v>184</v>
      </c>
    </row>
    <row r="2065" spans="1:2" x14ac:dyDescent="0.3">
      <c r="A2065" t="s">
        <v>1799</v>
      </c>
      <c r="B2065" t="s">
        <v>184</v>
      </c>
    </row>
    <row r="2066" spans="1:2" x14ac:dyDescent="0.3">
      <c r="B2066" t="s">
        <v>184</v>
      </c>
    </row>
    <row r="2067" spans="1:2" x14ac:dyDescent="0.3">
      <c r="A2067" t="s">
        <v>1800</v>
      </c>
      <c r="B2067" t="s">
        <v>184</v>
      </c>
    </row>
    <row r="2068" spans="1:2" x14ac:dyDescent="0.3">
      <c r="B2068" t="s">
        <v>184</v>
      </c>
    </row>
    <row r="2069" spans="1:2" x14ac:dyDescent="0.3">
      <c r="B2069" t="s">
        <v>184</v>
      </c>
    </row>
    <row r="2070" spans="1:2" x14ac:dyDescent="0.3">
      <c r="A2070" t="s">
        <v>1801</v>
      </c>
      <c r="B2070" t="s">
        <v>184</v>
      </c>
    </row>
    <row r="2071" spans="1:2" x14ac:dyDescent="0.3">
      <c r="A2071" t="s">
        <v>1802</v>
      </c>
      <c r="B2071" t="s">
        <v>184</v>
      </c>
    </row>
    <row r="2072" spans="1:2" x14ac:dyDescent="0.3">
      <c r="B2072" t="s">
        <v>184</v>
      </c>
    </row>
    <row r="2073" spans="1:2" x14ac:dyDescent="0.3">
      <c r="B2073" t="s">
        <v>184</v>
      </c>
    </row>
    <row r="2074" spans="1:2" x14ac:dyDescent="0.3">
      <c r="B2074" t="s">
        <v>184</v>
      </c>
    </row>
    <row r="2075" spans="1:2" x14ac:dyDescent="0.3">
      <c r="A2075" t="s">
        <v>1803</v>
      </c>
      <c r="B2075" t="s">
        <v>184</v>
      </c>
    </row>
    <row r="2076" spans="1:2" x14ac:dyDescent="0.3">
      <c r="A2076" t="s">
        <v>1804</v>
      </c>
      <c r="B2076" t="s">
        <v>184</v>
      </c>
    </row>
    <row r="2077" spans="1:2" x14ac:dyDescent="0.3">
      <c r="B2077" t="s">
        <v>184</v>
      </c>
    </row>
    <row r="2078" spans="1:2" x14ac:dyDescent="0.3">
      <c r="B2078" t="s">
        <v>184</v>
      </c>
    </row>
    <row r="2079" spans="1:2" x14ac:dyDescent="0.3">
      <c r="B2079" t="s">
        <v>184</v>
      </c>
    </row>
    <row r="2080" spans="1:2" x14ac:dyDescent="0.3">
      <c r="B2080" t="s">
        <v>184</v>
      </c>
    </row>
    <row r="2081" spans="1:2" x14ac:dyDescent="0.3">
      <c r="B2081" t="s">
        <v>184</v>
      </c>
    </row>
    <row r="2082" spans="1:2" x14ac:dyDescent="0.3">
      <c r="A2082" t="s">
        <v>1805</v>
      </c>
      <c r="B2082" t="s">
        <v>184</v>
      </c>
    </row>
    <row r="2083" spans="1:2" x14ac:dyDescent="0.3">
      <c r="A2083" t="s">
        <v>1806</v>
      </c>
      <c r="B2083" t="s">
        <v>1</v>
      </c>
    </row>
    <row r="2084" spans="1:2" x14ac:dyDescent="0.3">
      <c r="B2084" t="s">
        <v>184</v>
      </c>
    </row>
    <row r="2085" spans="1:2" x14ac:dyDescent="0.3">
      <c r="B2085" t="s">
        <v>184</v>
      </c>
    </row>
    <row r="2086" spans="1:2" x14ac:dyDescent="0.3">
      <c r="B2086" t="s">
        <v>184</v>
      </c>
    </row>
    <row r="2087" spans="1:2" x14ac:dyDescent="0.3">
      <c r="B2087" t="s">
        <v>184</v>
      </c>
    </row>
    <row r="2088" spans="1:2" x14ac:dyDescent="0.3">
      <c r="B2088" t="s">
        <v>184</v>
      </c>
    </row>
    <row r="2089" spans="1:2" x14ac:dyDescent="0.3">
      <c r="B2089" t="s">
        <v>184</v>
      </c>
    </row>
    <row r="2090" spans="1:2" x14ac:dyDescent="0.3">
      <c r="A2090" t="s">
        <v>1807</v>
      </c>
      <c r="B2090" t="s">
        <v>184</v>
      </c>
    </row>
    <row r="2091" spans="1:2" x14ac:dyDescent="0.3">
      <c r="B2091" t="s">
        <v>184</v>
      </c>
    </row>
    <row r="2092" spans="1:2" x14ac:dyDescent="0.3">
      <c r="B2092" t="s">
        <v>184</v>
      </c>
    </row>
    <row r="2093" spans="1:2" x14ac:dyDescent="0.3">
      <c r="A2093" t="s">
        <v>1808</v>
      </c>
      <c r="B2093" t="s">
        <v>184</v>
      </c>
    </row>
    <row r="2094" spans="1:2" x14ac:dyDescent="0.3">
      <c r="B2094" t="s">
        <v>184</v>
      </c>
    </row>
    <row r="2095" spans="1:2" x14ac:dyDescent="0.3">
      <c r="A2095" t="s">
        <v>1809</v>
      </c>
      <c r="B2095" t="s">
        <v>184</v>
      </c>
    </row>
    <row r="2096" spans="1:2" x14ac:dyDescent="0.3">
      <c r="B2096" t="s">
        <v>184</v>
      </c>
    </row>
    <row r="2097" spans="1:2" x14ac:dyDescent="0.3">
      <c r="B2097" t="s">
        <v>184</v>
      </c>
    </row>
    <row r="2098" spans="1:2" x14ac:dyDescent="0.3">
      <c r="B2098" t="s">
        <v>184</v>
      </c>
    </row>
    <row r="2099" spans="1:2" x14ac:dyDescent="0.3">
      <c r="A2099" t="s">
        <v>1810</v>
      </c>
      <c r="B2099" t="s">
        <v>184</v>
      </c>
    </row>
    <row r="2100" spans="1:2" x14ac:dyDescent="0.3">
      <c r="B2100" t="s">
        <v>184</v>
      </c>
    </row>
    <row r="2101" spans="1:2" x14ac:dyDescent="0.3">
      <c r="B2101" t="s">
        <v>184</v>
      </c>
    </row>
    <row r="2102" spans="1:2" x14ac:dyDescent="0.3">
      <c r="A2102" t="s">
        <v>1811</v>
      </c>
      <c r="B2102" t="s">
        <v>171</v>
      </c>
    </row>
    <row r="2103" spans="1:2" x14ac:dyDescent="0.3">
      <c r="B2103" t="s">
        <v>184</v>
      </c>
    </row>
    <row r="2104" spans="1:2" x14ac:dyDescent="0.3">
      <c r="B2104" t="s">
        <v>184</v>
      </c>
    </row>
    <row r="2105" spans="1:2" x14ac:dyDescent="0.3">
      <c r="A2105" t="s">
        <v>1812</v>
      </c>
      <c r="B2105" t="s">
        <v>184</v>
      </c>
    </row>
    <row r="2106" spans="1:2" x14ac:dyDescent="0.3">
      <c r="A2106" t="s">
        <v>1813</v>
      </c>
      <c r="B2106" t="s">
        <v>195</v>
      </c>
    </row>
    <row r="2107" spans="1:2" x14ac:dyDescent="0.3">
      <c r="B2107" t="s">
        <v>184</v>
      </c>
    </row>
    <row r="2108" spans="1:2" x14ac:dyDescent="0.3">
      <c r="B2108" t="s">
        <v>184</v>
      </c>
    </row>
    <row r="2109" spans="1:2" x14ac:dyDescent="0.3">
      <c r="B2109" t="s">
        <v>184</v>
      </c>
    </row>
    <row r="2110" spans="1:2" x14ac:dyDescent="0.3">
      <c r="A2110" t="s">
        <v>1814</v>
      </c>
      <c r="B2110" t="s">
        <v>184</v>
      </c>
    </row>
    <row r="2111" spans="1:2" x14ac:dyDescent="0.3">
      <c r="B2111" t="s">
        <v>184</v>
      </c>
    </row>
    <row r="2112" spans="1:2" x14ac:dyDescent="0.3">
      <c r="A2112" t="s">
        <v>1815</v>
      </c>
      <c r="B2112" t="s">
        <v>181</v>
      </c>
    </row>
    <row r="2113" spans="1:2" x14ac:dyDescent="0.3">
      <c r="A2113" t="s">
        <v>1816</v>
      </c>
      <c r="B2113" t="s">
        <v>184</v>
      </c>
    </row>
    <row r="2114" spans="1:2" x14ac:dyDescent="0.3">
      <c r="B2114" t="s">
        <v>184</v>
      </c>
    </row>
    <row r="2115" spans="1:2" x14ac:dyDescent="0.3">
      <c r="A2115" t="s">
        <v>1817</v>
      </c>
      <c r="B2115" t="s">
        <v>184</v>
      </c>
    </row>
    <row r="2116" spans="1:2" x14ac:dyDescent="0.3">
      <c r="B2116" t="s">
        <v>184</v>
      </c>
    </row>
    <row r="2117" spans="1:2" x14ac:dyDescent="0.3">
      <c r="A2117" t="s">
        <v>1818</v>
      </c>
      <c r="B2117" t="s">
        <v>184</v>
      </c>
    </row>
    <row r="2118" spans="1:2" x14ac:dyDescent="0.3">
      <c r="A2118" t="s">
        <v>1819</v>
      </c>
      <c r="B2118" t="s">
        <v>184</v>
      </c>
    </row>
    <row r="2119" spans="1:2" x14ac:dyDescent="0.3">
      <c r="B2119" t="s">
        <v>184</v>
      </c>
    </row>
    <row r="2120" spans="1:2" x14ac:dyDescent="0.3">
      <c r="B2120" t="s">
        <v>184</v>
      </c>
    </row>
    <row r="2121" spans="1:2" x14ac:dyDescent="0.3">
      <c r="A2121" t="s">
        <v>1820</v>
      </c>
      <c r="B2121" t="s">
        <v>1821</v>
      </c>
    </row>
    <row r="2122" spans="1:2" x14ac:dyDescent="0.3">
      <c r="A2122" t="s">
        <v>1822</v>
      </c>
      <c r="B2122" t="s">
        <v>1821</v>
      </c>
    </row>
    <row r="2123" spans="1:2" x14ac:dyDescent="0.3">
      <c r="A2123" t="s">
        <v>1823</v>
      </c>
      <c r="B2123" t="s">
        <v>1821</v>
      </c>
    </row>
    <row r="2124" spans="1:2" x14ac:dyDescent="0.3">
      <c r="B2124" t="s">
        <v>1821</v>
      </c>
    </row>
    <row r="2125" spans="1:2" x14ac:dyDescent="0.3">
      <c r="B2125" t="s">
        <v>896</v>
      </c>
    </row>
    <row r="2126" spans="1:2" x14ac:dyDescent="0.3">
      <c r="A2126" t="s">
        <v>1824</v>
      </c>
      <c r="B2126" t="s">
        <v>1821</v>
      </c>
    </row>
    <row r="2127" spans="1:2" x14ac:dyDescent="0.3">
      <c r="A2127" t="s">
        <v>222</v>
      </c>
      <c r="B2127" t="s">
        <v>203</v>
      </c>
    </row>
    <row r="2128" spans="1:2" x14ac:dyDescent="0.3">
      <c r="A2128" t="s">
        <v>214</v>
      </c>
      <c r="B2128" t="s">
        <v>194</v>
      </c>
    </row>
    <row r="2129" spans="1:2" x14ac:dyDescent="0.3">
      <c r="B2129" t="s">
        <v>194</v>
      </c>
    </row>
    <row r="2130" spans="1:2" x14ac:dyDescent="0.3">
      <c r="A2130" t="s">
        <v>151</v>
      </c>
      <c r="B2130" t="s">
        <v>74</v>
      </c>
    </row>
    <row r="2131" spans="1:2" x14ac:dyDescent="0.3">
      <c r="A2131" t="s">
        <v>1825</v>
      </c>
      <c r="B2131" t="s">
        <v>74</v>
      </c>
    </row>
    <row r="2132" spans="1:2" x14ac:dyDescent="0.3">
      <c r="B2132" t="s">
        <v>74</v>
      </c>
    </row>
    <row r="2133" spans="1:2" x14ac:dyDescent="0.3">
      <c r="B2133" t="s">
        <v>74</v>
      </c>
    </row>
    <row r="2134" spans="1:2" x14ac:dyDescent="0.3">
      <c r="A2134" t="s">
        <v>1826</v>
      </c>
      <c r="B2134" t="s">
        <v>252</v>
      </c>
    </row>
    <row r="2135" spans="1:2" x14ac:dyDescent="0.3">
      <c r="B2135" t="s">
        <v>74</v>
      </c>
    </row>
    <row r="2136" spans="1:2" x14ac:dyDescent="0.3">
      <c r="B2136" t="s">
        <v>74</v>
      </c>
    </row>
    <row r="2137" spans="1:2" x14ac:dyDescent="0.3">
      <c r="B2137" t="s">
        <v>74</v>
      </c>
    </row>
    <row r="2138" spans="1:2" x14ac:dyDescent="0.3">
      <c r="B2138" t="s">
        <v>74</v>
      </c>
    </row>
    <row r="2139" spans="1:2" x14ac:dyDescent="0.3">
      <c r="A2139" t="s">
        <v>75</v>
      </c>
      <c r="B2139" t="s">
        <v>74</v>
      </c>
    </row>
    <row r="2140" spans="1:2" x14ac:dyDescent="0.3">
      <c r="A2140" t="s">
        <v>1827</v>
      </c>
      <c r="B2140" t="s">
        <v>74</v>
      </c>
    </row>
    <row r="2141" spans="1:2" x14ac:dyDescent="0.3">
      <c r="A2141" t="s">
        <v>1828</v>
      </c>
      <c r="B2141" t="s">
        <v>74</v>
      </c>
    </row>
    <row r="2142" spans="1:2" x14ac:dyDescent="0.3">
      <c r="A2142" t="s">
        <v>1829</v>
      </c>
      <c r="B2142" t="s">
        <v>74</v>
      </c>
    </row>
    <row r="2143" spans="1:2" x14ac:dyDescent="0.3">
      <c r="A2143" t="s">
        <v>1830</v>
      </c>
      <c r="B2143" t="s">
        <v>1831</v>
      </c>
    </row>
    <row r="2144" spans="1:2" x14ac:dyDescent="0.3">
      <c r="A2144" t="s">
        <v>1832</v>
      </c>
      <c r="B2144" t="s">
        <v>1831</v>
      </c>
    </row>
    <row r="2145" spans="1:2" x14ac:dyDescent="0.3">
      <c r="A2145" t="s">
        <v>1833</v>
      </c>
      <c r="B2145" t="s">
        <v>1831</v>
      </c>
    </row>
    <row r="2146" spans="1:2" x14ac:dyDescent="0.3">
      <c r="A2146" t="s">
        <v>1834</v>
      </c>
      <c r="B2146" t="s">
        <v>1831</v>
      </c>
    </row>
    <row r="2147" spans="1:2" x14ac:dyDescent="0.3">
      <c r="A2147" t="s">
        <v>1835</v>
      </c>
      <c r="B2147" t="s">
        <v>1831</v>
      </c>
    </row>
    <row r="2148" spans="1:2" x14ac:dyDescent="0.3">
      <c r="B2148" t="s">
        <v>188</v>
      </c>
    </row>
    <row r="2149" spans="1:2" x14ac:dyDescent="0.3">
      <c r="B2149" t="s">
        <v>189</v>
      </c>
    </row>
    <row r="2150" spans="1:2" x14ac:dyDescent="0.3">
      <c r="A2150" t="s">
        <v>1836</v>
      </c>
      <c r="B2150" t="s">
        <v>2</v>
      </c>
    </row>
    <row r="2151" spans="1:2" x14ac:dyDescent="0.3">
      <c r="A2151" t="s">
        <v>1837</v>
      </c>
      <c r="B2151" t="s">
        <v>188</v>
      </c>
    </row>
    <row r="2152" spans="1:2" x14ac:dyDescent="0.3">
      <c r="A2152" t="s">
        <v>1838</v>
      </c>
      <c r="B2152" t="s">
        <v>188</v>
      </c>
    </row>
    <row r="2153" spans="1:2" x14ac:dyDescent="0.3">
      <c r="A2153" t="s">
        <v>1839</v>
      </c>
      <c r="B2153" t="s">
        <v>188</v>
      </c>
    </row>
    <row r="2154" spans="1:2" x14ac:dyDescent="0.3">
      <c r="B2154" t="s">
        <v>188</v>
      </c>
    </row>
    <row r="2155" spans="1:2" x14ac:dyDescent="0.3">
      <c r="A2155" t="s">
        <v>1850</v>
      </c>
      <c r="B2155" t="s">
        <v>188</v>
      </c>
    </row>
    <row r="2156" spans="1:2" x14ac:dyDescent="0.3">
      <c r="A2156" t="s">
        <v>1840</v>
      </c>
      <c r="B2156" t="s">
        <v>188</v>
      </c>
    </row>
    <row r="2157" spans="1:2" x14ac:dyDescent="0.3">
      <c r="B2157" t="s">
        <v>188</v>
      </c>
    </row>
    <row r="2158" spans="1:2" x14ac:dyDescent="0.3">
      <c r="B2158" t="s">
        <v>188</v>
      </c>
    </row>
    <row r="2159" spans="1:2" x14ac:dyDescent="0.3">
      <c r="A2159" t="s">
        <v>1841</v>
      </c>
      <c r="B2159" t="s">
        <v>188</v>
      </c>
    </row>
    <row r="2160" spans="1:2" x14ac:dyDescent="0.3">
      <c r="B2160" t="s">
        <v>188</v>
      </c>
    </row>
    <row r="2161" spans="1:2" x14ac:dyDescent="0.3">
      <c r="A2161" t="s">
        <v>1842</v>
      </c>
      <c r="B2161" t="s">
        <v>188</v>
      </c>
    </row>
    <row r="2162" spans="1:2" x14ac:dyDescent="0.3">
      <c r="B2162" t="s">
        <v>188</v>
      </c>
    </row>
    <row r="2163" spans="1:2" x14ac:dyDescent="0.3">
      <c r="A2163" t="s">
        <v>1843</v>
      </c>
      <c r="B2163" t="s">
        <v>188</v>
      </c>
    </row>
    <row r="2164" spans="1:2" x14ac:dyDescent="0.3">
      <c r="A2164" t="s">
        <v>1844</v>
      </c>
      <c r="B2164" t="s">
        <v>188</v>
      </c>
    </row>
    <row r="2165" spans="1:2" x14ac:dyDescent="0.3">
      <c r="B2165" t="s">
        <v>188</v>
      </c>
    </row>
    <row r="2166" spans="1:2" x14ac:dyDescent="0.3">
      <c r="A2166" t="s">
        <v>1845</v>
      </c>
      <c r="B2166" t="s">
        <v>188</v>
      </c>
    </row>
    <row r="2167" spans="1:2" x14ac:dyDescent="0.3">
      <c r="A2167" t="s">
        <v>1846</v>
      </c>
      <c r="B2167" t="s">
        <v>188</v>
      </c>
    </row>
    <row r="2168" spans="1:2" x14ac:dyDescent="0.3">
      <c r="A2168" t="s">
        <v>1847</v>
      </c>
      <c r="B2168" t="s">
        <v>188</v>
      </c>
    </row>
    <row r="2169" spans="1:2" x14ac:dyDescent="0.3">
      <c r="B2169" t="s">
        <v>188</v>
      </c>
    </row>
    <row r="2170" spans="1:2" x14ac:dyDescent="0.3">
      <c r="A2170" t="s">
        <v>1848</v>
      </c>
      <c r="B2170" t="s">
        <v>188</v>
      </c>
    </row>
    <row r="2171" spans="1:2" x14ac:dyDescent="0.3">
      <c r="A2171" t="s">
        <v>1849</v>
      </c>
      <c r="B2171" t="s">
        <v>188</v>
      </c>
    </row>
    <row r="2172" spans="1:2" x14ac:dyDescent="0.3">
      <c r="A2172" t="s">
        <v>2614</v>
      </c>
      <c r="B2172" t="s">
        <v>188</v>
      </c>
    </row>
    <row r="2173" spans="1:2" x14ac:dyDescent="0.3">
      <c r="B2173" t="s">
        <v>188</v>
      </c>
    </row>
    <row r="2174" spans="1:2" x14ac:dyDescent="0.3">
      <c r="A2174" t="s">
        <v>1851</v>
      </c>
      <c r="B2174" t="s">
        <v>188</v>
      </c>
    </row>
    <row r="2175" spans="1:2" x14ac:dyDescent="0.3">
      <c r="A2175" t="s">
        <v>1852</v>
      </c>
      <c r="B2175" t="s">
        <v>1</v>
      </c>
    </row>
    <row r="2176" spans="1:2" x14ac:dyDescent="0.3">
      <c r="A2176" t="s">
        <v>1853</v>
      </c>
      <c r="B2176" t="s">
        <v>188</v>
      </c>
    </row>
    <row r="2177" spans="1:2" x14ac:dyDescent="0.3">
      <c r="A2177" t="s">
        <v>1854</v>
      </c>
      <c r="B2177" t="s">
        <v>188</v>
      </c>
    </row>
    <row r="2178" spans="1:2" x14ac:dyDescent="0.3">
      <c r="A2178" t="s">
        <v>1855</v>
      </c>
      <c r="B2178" t="s">
        <v>188</v>
      </c>
    </row>
    <row r="2179" spans="1:2" x14ac:dyDescent="0.3">
      <c r="A2179" t="s">
        <v>1856</v>
      </c>
      <c r="B2179" t="s">
        <v>188</v>
      </c>
    </row>
    <row r="2180" spans="1:2" x14ac:dyDescent="0.3">
      <c r="B2180" t="s">
        <v>188</v>
      </c>
    </row>
    <row r="2181" spans="1:2" x14ac:dyDescent="0.3">
      <c r="A2181" t="s">
        <v>1857</v>
      </c>
      <c r="B2181" t="s">
        <v>188</v>
      </c>
    </row>
    <row r="2182" spans="1:2" x14ac:dyDescent="0.3">
      <c r="A2182" t="s">
        <v>1858</v>
      </c>
      <c r="B2182" t="s">
        <v>168</v>
      </c>
    </row>
    <row r="2183" spans="1:2" x14ac:dyDescent="0.3">
      <c r="A2183" t="s">
        <v>1859</v>
      </c>
      <c r="B2183" t="s">
        <v>1860</v>
      </c>
    </row>
    <row r="2184" spans="1:2" x14ac:dyDescent="0.3">
      <c r="A2184" t="s">
        <v>1861</v>
      </c>
      <c r="B2184" t="s">
        <v>1860</v>
      </c>
    </row>
    <row r="2185" spans="1:2" x14ac:dyDescent="0.3">
      <c r="A2185" t="s">
        <v>1862</v>
      </c>
      <c r="B2185" t="s">
        <v>1860</v>
      </c>
    </row>
    <row r="2186" spans="1:2" x14ac:dyDescent="0.3">
      <c r="A2186" t="s">
        <v>1863</v>
      </c>
      <c r="B2186" t="s">
        <v>1860</v>
      </c>
    </row>
    <row r="2187" spans="1:2" x14ac:dyDescent="0.3">
      <c r="A2187" t="s">
        <v>1864</v>
      </c>
      <c r="B2187" t="s">
        <v>1860</v>
      </c>
    </row>
    <row r="2188" spans="1:2" x14ac:dyDescent="0.3">
      <c r="A2188" t="s">
        <v>149</v>
      </c>
      <c r="B2188" t="s">
        <v>223</v>
      </c>
    </row>
    <row r="2189" spans="1:2" x14ac:dyDescent="0.3">
      <c r="A2189" t="s">
        <v>1865</v>
      </c>
      <c r="B2189" t="s">
        <v>739</v>
      </c>
    </row>
    <row r="2190" spans="1:2" x14ac:dyDescent="0.3">
      <c r="A2190" t="s">
        <v>1866</v>
      </c>
      <c r="B2190" t="s">
        <v>1867</v>
      </c>
    </row>
    <row r="2191" spans="1:2" x14ac:dyDescent="0.3">
      <c r="A2191" t="s">
        <v>1868</v>
      </c>
      <c r="B2191" t="s">
        <v>1867</v>
      </c>
    </row>
    <row r="2192" spans="1:2" x14ac:dyDescent="0.3">
      <c r="A2192" t="s">
        <v>1869</v>
      </c>
      <c r="B2192" t="s">
        <v>1870</v>
      </c>
    </row>
    <row r="2193" spans="1:2" x14ac:dyDescent="0.3">
      <c r="A2193" t="s">
        <v>1870</v>
      </c>
      <c r="B2193" t="s">
        <v>1870</v>
      </c>
    </row>
    <row r="2194" spans="1:2" x14ac:dyDescent="0.3">
      <c r="A2194" t="s">
        <v>1871</v>
      </c>
      <c r="B2194" t="s">
        <v>1867</v>
      </c>
    </row>
    <row r="2195" spans="1:2" x14ac:dyDescent="0.3">
      <c r="A2195" t="s">
        <v>1872</v>
      </c>
      <c r="B2195" t="s">
        <v>171</v>
      </c>
    </row>
    <row r="2196" spans="1:2" x14ac:dyDescent="0.3">
      <c r="A2196" t="s">
        <v>1873</v>
      </c>
      <c r="B2196" t="s">
        <v>1874</v>
      </c>
    </row>
    <row r="2197" spans="1:2" x14ac:dyDescent="0.3">
      <c r="B2197" t="s">
        <v>1874</v>
      </c>
    </row>
    <row r="2198" spans="1:2" x14ac:dyDescent="0.3">
      <c r="A2198" t="s">
        <v>1875</v>
      </c>
      <c r="B2198" t="s">
        <v>1874</v>
      </c>
    </row>
    <row r="2199" spans="1:2" x14ac:dyDescent="0.3">
      <c r="A2199" t="s">
        <v>1876</v>
      </c>
      <c r="B2199" t="s">
        <v>739</v>
      </c>
    </row>
    <row r="2200" spans="1:2" x14ac:dyDescent="0.3">
      <c r="A2200" t="s">
        <v>1877</v>
      </c>
      <c r="B2200" t="s">
        <v>896</v>
      </c>
    </row>
    <row r="2201" spans="1:2" x14ac:dyDescent="0.3">
      <c r="A2201" t="s">
        <v>1878</v>
      </c>
      <c r="B2201" t="s">
        <v>1879</v>
      </c>
    </row>
    <row r="2202" spans="1:2" x14ac:dyDescent="0.3">
      <c r="A2202" t="s">
        <v>1880</v>
      </c>
      <c r="B2202" t="s">
        <v>1879</v>
      </c>
    </row>
    <row r="2203" spans="1:2" x14ac:dyDescent="0.3">
      <c r="A2203" t="s">
        <v>1881</v>
      </c>
      <c r="B2203" t="s">
        <v>1882</v>
      </c>
    </row>
    <row r="2204" spans="1:2" x14ac:dyDescent="0.3">
      <c r="A2204" t="s">
        <v>1883</v>
      </c>
      <c r="B2204" t="s">
        <v>1879</v>
      </c>
    </row>
    <row r="2205" spans="1:2" x14ac:dyDescent="0.3">
      <c r="A2205" t="s">
        <v>1884</v>
      </c>
      <c r="B2205" t="s">
        <v>1879</v>
      </c>
    </row>
    <row r="2206" spans="1:2" x14ac:dyDescent="0.3">
      <c r="A2206" t="s">
        <v>1885</v>
      </c>
      <c r="B2206" t="s">
        <v>177</v>
      </c>
    </row>
    <row r="2207" spans="1:2" x14ac:dyDescent="0.3">
      <c r="A2207" t="s">
        <v>1886</v>
      </c>
      <c r="B2207" t="s">
        <v>177</v>
      </c>
    </row>
    <row r="2208" spans="1:2" x14ac:dyDescent="0.3">
      <c r="B2208" t="s">
        <v>177</v>
      </c>
    </row>
    <row r="2209" spans="1:2" x14ac:dyDescent="0.3">
      <c r="A2209" t="s">
        <v>1887</v>
      </c>
      <c r="B2209" t="s">
        <v>177</v>
      </c>
    </row>
    <row r="2210" spans="1:2" x14ac:dyDescent="0.3">
      <c r="A2210" t="s">
        <v>1888</v>
      </c>
      <c r="B2210" t="s">
        <v>177</v>
      </c>
    </row>
    <row r="2211" spans="1:2" x14ac:dyDescent="0.3">
      <c r="A2211" t="s">
        <v>1889</v>
      </c>
      <c r="B2211" t="s">
        <v>177</v>
      </c>
    </row>
    <row r="2212" spans="1:2" x14ac:dyDescent="0.3">
      <c r="A2212" t="s">
        <v>1890</v>
      </c>
      <c r="B2212" t="s">
        <v>177</v>
      </c>
    </row>
    <row r="2213" spans="1:2" x14ac:dyDescent="0.3">
      <c r="A2213" t="s">
        <v>1891</v>
      </c>
      <c r="B2213" t="s">
        <v>177</v>
      </c>
    </row>
    <row r="2214" spans="1:2" x14ac:dyDescent="0.3">
      <c r="A2214" t="s">
        <v>1892</v>
      </c>
      <c r="B2214" t="s">
        <v>177</v>
      </c>
    </row>
    <row r="2215" spans="1:2" x14ac:dyDescent="0.3">
      <c r="A2215" t="s">
        <v>1893</v>
      </c>
      <c r="B2215" t="s">
        <v>171</v>
      </c>
    </row>
    <row r="2216" spans="1:2" x14ac:dyDescent="0.3">
      <c r="A2216" t="s">
        <v>1894</v>
      </c>
      <c r="B2216" t="s">
        <v>177</v>
      </c>
    </row>
    <row r="2217" spans="1:2" x14ac:dyDescent="0.3">
      <c r="B2217" t="s">
        <v>177</v>
      </c>
    </row>
    <row r="2218" spans="1:2" x14ac:dyDescent="0.3">
      <c r="A2218" t="s">
        <v>1895</v>
      </c>
      <c r="B2218" t="s">
        <v>177</v>
      </c>
    </row>
    <row r="2219" spans="1:2" x14ac:dyDescent="0.3">
      <c r="B2219" t="s">
        <v>177</v>
      </c>
    </row>
    <row r="2220" spans="1:2" x14ac:dyDescent="0.3">
      <c r="B2220" t="s">
        <v>177</v>
      </c>
    </row>
    <row r="2221" spans="1:2" x14ac:dyDescent="0.3">
      <c r="A2221" t="s">
        <v>1896</v>
      </c>
      <c r="B2221" t="s">
        <v>177</v>
      </c>
    </row>
    <row r="2222" spans="1:2" x14ac:dyDescent="0.3">
      <c r="A2222" t="s">
        <v>1897</v>
      </c>
      <c r="B2222" t="s">
        <v>177</v>
      </c>
    </row>
    <row r="2223" spans="1:2" x14ac:dyDescent="0.3">
      <c r="A2223" t="s">
        <v>1898</v>
      </c>
      <c r="B2223" t="s">
        <v>177</v>
      </c>
    </row>
    <row r="2224" spans="1:2" x14ac:dyDescent="0.3">
      <c r="A2224" t="s">
        <v>183</v>
      </c>
      <c r="B2224" t="s">
        <v>177</v>
      </c>
    </row>
    <row r="2225" spans="1:2" x14ac:dyDescent="0.3">
      <c r="A2225" t="s">
        <v>127</v>
      </c>
      <c r="B2225" t="s">
        <v>174</v>
      </c>
    </row>
    <row r="2226" spans="1:2" x14ac:dyDescent="0.3">
      <c r="A2226" t="s">
        <v>1899</v>
      </c>
      <c r="B2226" t="s">
        <v>174</v>
      </c>
    </row>
    <row r="2227" spans="1:2" x14ac:dyDescent="0.3">
      <c r="A2227" t="s">
        <v>1900</v>
      </c>
      <c r="B2227" t="s">
        <v>174</v>
      </c>
    </row>
    <row r="2228" spans="1:2" x14ac:dyDescent="0.3">
      <c r="B2228" t="s">
        <v>174</v>
      </c>
    </row>
    <row r="2229" spans="1:2" x14ac:dyDescent="0.3">
      <c r="A2229" t="s">
        <v>1901</v>
      </c>
      <c r="B2229" t="s">
        <v>174</v>
      </c>
    </row>
    <row r="2230" spans="1:2" x14ac:dyDescent="0.3">
      <c r="A2230" t="s">
        <v>1902</v>
      </c>
      <c r="B2230" t="s">
        <v>174</v>
      </c>
    </row>
    <row r="2231" spans="1:2" x14ac:dyDescent="0.3">
      <c r="B2231" t="s">
        <v>174</v>
      </c>
    </row>
    <row r="2232" spans="1:2" x14ac:dyDescent="0.3">
      <c r="A2232" t="s">
        <v>1903</v>
      </c>
      <c r="B2232" t="s">
        <v>174</v>
      </c>
    </row>
    <row r="2233" spans="1:2" x14ac:dyDescent="0.3">
      <c r="A2233" t="s">
        <v>1904</v>
      </c>
      <c r="B2233" t="s">
        <v>174</v>
      </c>
    </row>
    <row r="2234" spans="1:2" x14ac:dyDescent="0.3">
      <c r="A2234" t="s">
        <v>1905</v>
      </c>
      <c r="B2234" t="s">
        <v>174</v>
      </c>
    </row>
    <row r="2235" spans="1:2" x14ac:dyDescent="0.3">
      <c r="A2235" t="s">
        <v>1906</v>
      </c>
      <c r="B2235" t="s">
        <v>174</v>
      </c>
    </row>
    <row r="2236" spans="1:2" x14ac:dyDescent="0.3">
      <c r="A2236" t="s">
        <v>1907</v>
      </c>
      <c r="B2236" t="s">
        <v>174</v>
      </c>
    </row>
    <row r="2237" spans="1:2" x14ac:dyDescent="0.3">
      <c r="A2237" t="s">
        <v>1908</v>
      </c>
      <c r="B2237" t="s">
        <v>174</v>
      </c>
    </row>
    <row r="2238" spans="1:2" x14ac:dyDescent="0.3">
      <c r="B2238" t="s">
        <v>174</v>
      </c>
    </row>
    <row r="2239" spans="1:2" x14ac:dyDescent="0.3">
      <c r="A2239" t="s">
        <v>1909</v>
      </c>
      <c r="B2239" t="s">
        <v>174</v>
      </c>
    </row>
    <row r="2240" spans="1:2" x14ac:dyDescent="0.3">
      <c r="A2240" t="s">
        <v>1910</v>
      </c>
      <c r="B2240" t="s">
        <v>174</v>
      </c>
    </row>
    <row r="2241" spans="1:2" x14ac:dyDescent="0.3">
      <c r="A2241" t="s">
        <v>1911</v>
      </c>
      <c r="B2241" t="s">
        <v>174</v>
      </c>
    </row>
    <row r="2242" spans="1:2" x14ac:dyDescent="0.3">
      <c r="A2242" t="s">
        <v>1912</v>
      </c>
      <c r="B2242" t="s">
        <v>174</v>
      </c>
    </row>
    <row r="2243" spans="1:2" x14ac:dyDescent="0.3">
      <c r="A2243" t="s">
        <v>1913</v>
      </c>
      <c r="B2243" t="s">
        <v>174</v>
      </c>
    </row>
    <row r="2244" spans="1:2" x14ac:dyDescent="0.3">
      <c r="A2244" t="s">
        <v>1914</v>
      </c>
      <c r="B2244" t="s">
        <v>174</v>
      </c>
    </row>
    <row r="2245" spans="1:2" x14ac:dyDescent="0.3">
      <c r="A2245" t="s">
        <v>1915</v>
      </c>
      <c r="B2245" t="s">
        <v>174</v>
      </c>
    </row>
    <row r="2246" spans="1:2" x14ac:dyDescent="0.3">
      <c r="A2246" t="s">
        <v>1916</v>
      </c>
      <c r="B2246" t="s">
        <v>174</v>
      </c>
    </row>
    <row r="2247" spans="1:2" x14ac:dyDescent="0.3">
      <c r="B2247" t="s">
        <v>174</v>
      </c>
    </row>
    <row r="2248" spans="1:2" x14ac:dyDescent="0.3">
      <c r="A2248" t="s">
        <v>1917</v>
      </c>
      <c r="B2248" t="s">
        <v>174</v>
      </c>
    </row>
    <row r="2249" spans="1:2" x14ac:dyDescent="0.3">
      <c r="A2249" t="s">
        <v>1918</v>
      </c>
      <c r="B2249" t="s">
        <v>174</v>
      </c>
    </row>
    <row r="2250" spans="1:2" x14ac:dyDescent="0.3">
      <c r="A2250" t="s">
        <v>1919</v>
      </c>
      <c r="B2250" t="s">
        <v>174</v>
      </c>
    </row>
    <row r="2251" spans="1:2" x14ac:dyDescent="0.3">
      <c r="A2251" t="s">
        <v>1920</v>
      </c>
      <c r="B2251" t="s">
        <v>174</v>
      </c>
    </row>
    <row r="2252" spans="1:2" x14ac:dyDescent="0.3">
      <c r="A2252" t="s">
        <v>1921</v>
      </c>
      <c r="B2252" t="s">
        <v>174</v>
      </c>
    </row>
    <row r="2253" spans="1:2" x14ac:dyDescent="0.3">
      <c r="A2253" t="s">
        <v>1922</v>
      </c>
      <c r="B2253" t="s">
        <v>174</v>
      </c>
    </row>
    <row r="2254" spans="1:2" x14ac:dyDescent="0.3">
      <c r="B2254" t="s">
        <v>174</v>
      </c>
    </row>
    <row r="2255" spans="1:2" x14ac:dyDescent="0.3">
      <c r="A2255" t="s">
        <v>1923</v>
      </c>
      <c r="B2255" t="s">
        <v>174</v>
      </c>
    </row>
    <row r="2256" spans="1:2" x14ac:dyDescent="0.3">
      <c r="A2256" t="s">
        <v>1924</v>
      </c>
      <c r="B2256" t="s">
        <v>174</v>
      </c>
    </row>
    <row r="2257" spans="1:2" x14ac:dyDescent="0.3">
      <c r="A2257" t="s">
        <v>1925</v>
      </c>
      <c r="B2257" t="s">
        <v>174</v>
      </c>
    </row>
    <row r="2258" spans="1:2" x14ac:dyDescent="0.3">
      <c r="A2258" t="s">
        <v>1926</v>
      </c>
      <c r="B2258" t="s">
        <v>174</v>
      </c>
    </row>
    <row r="2259" spans="1:2" x14ac:dyDescent="0.3">
      <c r="B2259" t="s">
        <v>174</v>
      </c>
    </row>
    <row r="2260" spans="1:2" x14ac:dyDescent="0.3">
      <c r="B2260" t="s">
        <v>174</v>
      </c>
    </row>
    <row r="2261" spans="1:2" x14ac:dyDescent="0.3">
      <c r="A2261" t="s">
        <v>1927</v>
      </c>
      <c r="B2261" t="s">
        <v>174</v>
      </c>
    </row>
    <row r="2262" spans="1:2" x14ac:dyDescent="0.3">
      <c r="B2262" t="s">
        <v>174</v>
      </c>
    </row>
    <row r="2263" spans="1:2" x14ac:dyDescent="0.3">
      <c r="A2263" t="s">
        <v>1928</v>
      </c>
      <c r="B2263" t="s">
        <v>174</v>
      </c>
    </row>
    <row r="2264" spans="1:2" x14ac:dyDescent="0.3">
      <c r="B2264" t="s">
        <v>174</v>
      </c>
    </row>
    <row r="2265" spans="1:2" x14ac:dyDescent="0.3">
      <c r="B2265" t="s">
        <v>174</v>
      </c>
    </row>
    <row r="2266" spans="1:2" x14ac:dyDescent="0.3">
      <c r="B2266" t="s">
        <v>174</v>
      </c>
    </row>
    <row r="2267" spans="1:2" x14ac:dyDescent="0.3">
      <c r="A2267" t="s">
        <v>1929</v>
      </c>
      <c r="B2267" t="s">
        <v>174</v>
      </c>
    </row>
    <row r="2268" spans="1:2" x14ac:dyDescent="0.3">
      <c r="A2268" t="s">
        <v>1930</v>
      </c>
      <c r="B2268" t="s">
        <v>174</v>
      </c>
    </row>
    <row r="2269" spans="1:2" x14ac:dyDescent="0.3">
      <c r="A2269" t="s">
        <v>1931</v>
      </c>
      <c r="B2269" t="s">
        <v>174</v>
      </c>
    </row>
    <row r="2270" spans="1:2" x14ac:dyDescent="0.3">
      <c r="B2270" t="s">
        <v>174</v>
      </c>
    </row>
    <row r="2271" spans="1:2" x14ac:dyDescent="0.3">
      <c r="A2271" t="s">
        <v>1932</v>
      </c>
      <c r="B2271" t="s">
        <v>174</v>
      </c>
    </row>
    <row r="2272" spans="1:2" x14ac:dyDescent="0.3">
      <c r="A2272" t="s">
        <v>1933</v>
      </c>
      <c r="B2272" t="s">
        <v>174</v>
      </c>
    </row>
    <row r="2273" spans="1:2" x14ac:dyDescent="0.3">
      <c r="A2273" t="s">
        <v>1934</v>
      </c>
      <c r="B2273" t="s">
        <v>174</v>
      </c>
    </row>
    <row r="2274" spans="1:2" x14ac:dyDescent="0.3">
      <c r="B2274" t="s">
        <v>174</v>
      </c>
    </row>
    <row r="2275" spans="1:2" x14ac:dyDescent="0.3">
      <c r="A2275" t="s">
        <v>1935</v>
      </c>
      <c r="B2275" t="s">
        <v>174</v>
      </c>
    </row>
    <row r="2276" spans="1:2" x14ac:dyDescent="0.3">
      <c r="B2276" t="s">
        <v>174</v>
      </c>
    </row>
    <row r="2277" spans="1:2" x14ac:dyDescent="0.3">
      <c r="A2277" t="s">
        <v>1936</v>
      </c>
      <c r="B2277" t="s">
        <v>174</v>
      </c>
    </row>
    <row r="2278" spans="1:2" x14ac:dyDescent="0.3">
      <c r="A2278" t="s">
        <v>1937</v>
      </c>
      <c r="B2278" t="s">
        <v>174</v>
      </c>
    </row>
    <row r="2279" spans="1:2" x14ac:dyDescent="0.3">
      <c r="A2279" t="s">
        <v>1938</v>
      </c>
      <c r="B2279" t="s">
        <v>174</v>
      </c>
    </row>
    <row r="2280" spans="1:2" x14ac:dyDescent="0.3">
      <c r="A2280" t="s">
        <v>1939</v>
      </c>
      <c r="B2280" t="s">
        <v>174</v>
      </c>
    </row>
    <row r="2281" spans="1:2" x14ac:dyDescent="0.3">
      <c r="A2281" t="s">
        <v>1940</v>
      </c>
      <c r="B2281" t="s">
        <v>174</v>
      </c>
    </row>
    <row r="2282" spans="1:2" x14ac:dyDescent="0.3">
      <c r="A2282" t="s">
        <v>1941</v>
      </c>
      <c r="B2282" t="s">
        <v>174</v>
      </c>
    </row>
    <row r="2283" spans="1:2" x14ac:dyDescent="0.3">
      <c r="B2283" t="s">
        <v>174</v>
      </c>
    </row>
    <row r="2284" spans="1:2" x14ac:dyDescent="0.3">
      <c r="B2284" t="s">
        <v>174</v>
      </c>
    </row>
    <row r="2285" spans="1:2" x14ac:dyDescent="0.3">
      <c r="A2285" t="s">
        <v>1942</v>
      </c>
      <c r="B2285" t="s">
        <v>174</v>
      </c>
    </row>
    <row r="2286" spans="1:2" x14ac:dyDescent="0.3">
      <c r="A2286" t="s">
        <v>1943</v>
      </c>
      <c r="B2286" t="s">
        <v>174</v>
      </c>
    </row>
    <row r="2287" spans="1:2" x14ac:dyDescent="0.3">
      <c r="B2287" t="s">
        <v>174</v>
      </c>
    </row>
    <row r="2288" spans="1:2" x14ac:dyDescent="0.3">
      <c r="B2288" t="s">
        <v>174</v>
      </c>
    </row>
    <row r="2289" spans="1:2" x14ac:dyDescent="0.3">
      <c r="A2289" t="s">
        <v>1944</v>
      </c>
      <c r="B2289" t="s">
        <v>174</v>
      </c>
    </row>
    <row r="2290" spans="1:2" x14ac:dyDescent="0.3">
      <c r="A2290" t="s">
        <v>1945</v>
      </c>
      <c r="B2290" t="s">
        <v>174</v>
      </c>
    </row>
    <row r="2291" spans="1:2" x14ac:dyDescent="0.3">
      <c r="A2291" t="s">
        <v>1946</v>
      </c>
      <c r="B2291" t="s">
        <v>174</v>
      </c>
    </row>
    <row r="2292" spans="1:2" x14ac:dyDescent="0.3">
      <c r="A2292" t="s">
        <v>1947</v>
      </c>
      <c r="B2292" t="s">
        <v>174</v>
      </c>
    </row>
    <row r="2293" spans="1:2" x14ac:dyDescent="0.3">
      <c r="B2293" t="s">
        <v>174</v>
      </c>
    </row>
    <row r="2294" spans="1:2" x14ac:dyDescent="0.3">
      <c r="A2294" t="s">
        <v>1948</v>
      </c>
      <c r="B2294" t="s">
        <v>228</v>
      </c>
    </row>
    <row r="2295" spans="1:2" x14ac:dyDescent="0.3">
      <c r="B2295" t="s">
        <v>174</v>
      </c>
    </row>
    <row r="2296" spans="1:2" x14ac:dyDescent="0.3">
      <c r="B2296" t="s">
        <v>174</v>
      </c>
    </row>
    <row r="2297" spans="1:2" x14ac:dyDescent="0.3">
      <c r="A2297" t="s">
        <v>1949</v>
      </c>
      <c r="B2297" t="s">
        <v>174</v>
      </c>
    </row>
    <row r="2298" spans="1:2" x14ac:dyDescent="0.3">
      <c r="B2298" t="s">
        <v>174</v>
      </c>
    </row>
    <row r="2299" spans="1:2" x14ac:dyDescent="0.3">
      <c r="B2299" t="s">
        <v>174</v>
      </c>
    </row>
    <row r="2300" spans="1:2" x14ac:dyDescent="0.3">
      <c r="B2300" t="s">
        <v>174</v>
      </c>
    </row>
    <row r="2301" spans="1:2" x14ac:dyDescent="0.3">
      <c r="A2301" t="s">
        <v>1950</v>
      </c>
      <c r="B2301" t="s">
        <v>174</v>
      </c>
    </row>
    <row r="2302" spans="1:2" x14ac:dyDescent="0.3">
      <c r="B2302" t="s">
        <v>174</v>
      </c>
    </row>
    <row r="2303" spans="1:2" x14ac:dyDescent="0.3">
      <c r="A2303" t="s">
        <v>1538</v>
      </c>
      <c r="B2303" t="s">
        <v>174</v>
      </c>
    </row>
    <row r="2304" spans="1:2" x14ac:dyDescent="0.3">
      <c r="A2304" t="s">
        <v>1951</v>
      </c>
      <c r="B2304" t="s">
        <v>174</v>
      </c>
    </row>
    <row r="2305" spans="1:2" x14ac:dyDescent="0.3">
      <c r="A2305" t="s">
        <v>1952</v>
      </c>
      <c r="B2305" t="s">
        <v>896</v>
      </c>
    </row>
    <row r="2306" spans="1:2" x14ac:dyDescent="0.3">
      <c r="B2306" t="s">
        <v>896</v>
      </c>
    </row>
    <row r="2307" spans="1:2" x14ac:dyDescent="0.3">
      <c r="A2307" t="s">
        <v>1953</v>
      </c>
      <c r="B2307" t="s">
        <v>896</v>
      </c>
    </row>
    <row r="2308" spans="1:2" x14ac:dyDescent="0.3">
      <c r="A2308" t="s">
        <v>1954</v>
      </c>
      <c r="B2308" t="s">
        <v>896</v>
      </c>
    </row>
    <row r="2309" spans="1:2" x14ac:dyDescent="0.3">
      <c r="A2309" t="s">
        <v>1955</v>
      </c>
      <c r="B2309" t="s">
        <v>896</v>
      </c>
    </row>
    <row r="2310" spans="1:2" x14ac:dyDescent="0.3">
      <c r="A2310" t="s">
        <v>1956</v>
      </c>
      <c r="B2310" t="s">
        <v>1</v>
      </c>
    </row>
    <row r="2311" spans="1:2" x14ac:dyDescent="0.3">
      <c r="A2311" t="s">
        <v>1957</v>
      </c>
      <c r="B2311" t="s">
        <v>896</v>
      </c>
    </row>
    <row r="2312" spans="1:2" x14ac:dyDescent="0.3">
      <c r="B2312" t="s">
        <v>896</v>
      </c>
    </row>
    <row r="2313" spans="1:2" x14ac:dyDescent="0.3">
      <c r="A2313" t="s">
        <v>1958</v>
      </c>
      <c r="B2313" t="s">
        <v>160</v>
      </c>
    </row>
    <row r="2314" spans="1:2" x14ac:dyDescent="0.3">
      <c r="B2314" t="s">
        <v>171</v>
      </c>
    </row>
    <row r="2315" spans="1:2" x14ac:dyDescent="0.3">
      <c r="A2315" t="s">
        <v>1959</v>
      </c>
      <c r="B2315" t="s">
        <v>160</v>
      </c>
    </row>
    <row r="2316" spans="1:2" x14ac:dyDescent="0.3">
      <c r="B2316" t="s">
        <v>896</v>
      </c>
    </row>
    <row r="2317" spans="1:2" x14ac:dyDescent="0.3">
      <c r="A2317" t="s">
        <v>1960</v>
      </c>
      <c r="B2317" t="s">
        <v>896</v>
      </c>
    </row>
    <row r="2318" spans="1:2" x14ac:dyDescent="0.3">
      <c r="A2318" t="s">
        <v>1961</v>
      </c>
      <c r="B2318" t="s">
        <v>896</v>
      </c>
    </row>
    <row r="2319" spans="1:2" x14ac:dyDescent="0.3">
      <c r="A2319" t="s">
        <v>1962</v>
      </c>
      <c r="B2319" t="s">
        <v>160</v>
      </c>
    </row>
    <row r="2320" spans="1:2" x14ac:dyDescent="0.3">
      <c r="B2320" t="s">
        <v>896</v>
      </c>
    </row>
    <row r="2321" spans="1:2" x14ac:dyDescent="0.3">
      <c r="A2321" t="s">
        <v>1963</v>
      </c>
      <c r="B2321" t="s">
        <v>896</v>
      </c>
    </row>
    <row r="2322" spans="1:2" x14ac:dyDescent="0.3">
      <c r="A2322" t="s">
        <v>1964</v>
      </c>
      <c r="B2322" t="s">
        <v>896</v>
      </c>
    </row>
    <row r="2323" spans="1:2" x14ac:dyDescent="0.3">
      <c r="A2323" t="s">
        <v>1965</v>
      </c>
      <c r="B2323" t="s">
        <v>896</v>
      </c>
    </row>
    <row r="2324" spans="1:2" x14ac:dyDescent="0.3">
      <c r="A2324" t="s">
        <v>1966</v>
      </c>
      <c r="B2324" t="s">
        <v>174</v>
      </c>
    </row>
    <row r="2325" spans="1:2" x14ac:dyDescent="0.3">
      <c r="B2325" t="s">
        <v>174</v>
      </c>
    </row>
    <row r="2326" spans="1:2" x14ac:dyDescent="0.3">
      <c r="A2326" t="s">
        <v>1967</v>
      </c>
      <c r="B2326" t="s">
        <v>174</v>
      </c>
    </row>
    <row r="2327" spans="1:2" x14ac:dyDescent="0.3">
      <c r="A2327" t="s">
        <v>1968</v>
      </c>
      <c r="B2327" t="s">
        <v>174</v>
      </c>
    </row>
    <row r="2328" spans="1:2" x14ac:dyDescent="0.3">
      <c r="A2328" t="s">
        <v>1969</v>
      </c>
      <c r="B2328" t="s">
        <v>174</v>
      </c>
    </row>
    <row r="2329" spans="1:2" x14ac:dyDescent="0.3">
      <c r="A2329" t="s">
        <v>1970</v>
      </c>
      <c r="B2329" t="s">
        <v>174</v>
      </c>
    </row>
    <row r="2330" spans="1:2" x14ac:dyDescent="0.3">
      <c r="A2330" t="s">
        <v>1971</v>
      </c>
      <c r="B2330" t="s">
        <v>174</v>
      </c>
    </row>
    <row r="2331" spans="1:2" x14ac:dyDescent="0.3">
      <c r="A2331" t="s">
        <v>1972</v>
      </c>
      <c r="B2331" t="s">
        <v>174</v>
      </c>
    </row>
    <row r="2332" spans="1:2" x14ac:dyDescent="0.3">
      <c r="A2332" t="s">
        <v>1973</v>
      </c>
      <c r="B2332" t="s">
        <v>174</v>
      </c>
    </row>
    <row r="2333" spans="1:2" x14ac:dyDescent="0.3">
      <c r="B2333" t="s">
        <v>174</v>
      </c>
    </row>
    <row r="2334" spans="1:2" x14ac:dyDescent="0.3">
      <c r="A2334" t="s">
        <v>1974</v>
      </c>
      <c r="B2334" t="s">
        <v>174</v>
      </c>
    </row>
    <row r="2335" spans="1:2" x14ac:dyDescent="0.3">
      <c r="B2335" t="s">
        <v>174</v>
      </c>
    </row>
    <row r="2336" spans="1:2" x14ac:dyDescent="0.3">
      <c r="A2336" t="s">
        <v>1975</v>
      </c>
      <c r="B2336" t="s">
        <v>174</v>
      </c>
    </row>
    <row r="2337" spans="1:2" x14ac:dyDescent="0.3">
      <c r="A2337" t="s">
        <v>1976</v>
      </c>
      <c r="B2337" t="s">
        <v>193</v>
      </c>
    </row>
    <row r="2338" spans="1:2" x14ac:dyDescent="0.3">
      <c r="A2338" t="s">
        <v>1977</v>
      </c>
      <c r="B2338" t="s">
        <v>1978</v>
      </c>
    </row>
    <row r="2339" spans="1:2" x14ac:dyDescent="0.3">
      <c r="A2339" t="s">
        <v>1979</v>
      </c>
      <c r="B2339" t="s">
        <v>193</v>
      </c>
    </row>
    <row r="2340" spans="1:2" x14ac:dyDescent="0.3">
      <c r="A2340" t="s">
        <v>1980</v>
      </c>
      <c r="B2340" t="s">
        <v>193</v>
      </c>
    </row>
    <row r="2341" spans="1:2" x14ac:dyDescent="0.3">
      <c r="A2341" t="s">
        <v>1981</v>
      </c>
      <c r="B2341" t="s">
        <v>193</v>
      </c>
    </row>
    <row r="2342" spans="1:2" x14ac:dyDescent="0.3">
      <c r="B2342" t="s">
        <v>193</v>
      </c>
    </row>
    <row r="2343" spans="1:2" x14ac:dyDescent="0.3">
      <c r="B2343" t="s">
        <v>249</v>
      </c>
    </row>
    <row r="2344" spans="1:2" x14ac:dyDescent="0.3">
      <c r="A2344" t="s">
        <v>1982</v>
      </c>
      <c r="B2344" t="s">
        <v>193</v>
      </c>
    </row>
    <row r="2345" spans="1:2" x14ac:dyDescent="0.3">
      <c r="A2345" t="s">
        <v>161</v>
      </c>
      <c r="B2345" t="s">
        <v>193</v>
      </c>
    </row>
    <row r="2346" spans="1:2" x14ac:dyDescent="0.3">
      <c r="B2346" t="s">
        <v>193</v>
      </c>
    </row>
    <row r="2347" spans="1:2" x14ac:dyDescent="0.3">
      <c r="B2347" t="s">
        <v>193</v>
      </c>
    </row>
    <row r="2348" spans="1:2" x14ac:dyDescent="0.3">
      <c r="B2348" t="s">
        <v>193</v>
      </c>
    </row>
    <row r="2349" spans="1:2" x14ac:dyDescent="0.3">
      <c r="B2349" t="s">
        <v>193</v>
      </c>
    </row>
    <row r="2350" spans="1:2" x14ac:dyDescent="0.3">
      <c r="B2350" t="s">
        <v>193</v>
      </c>
    </row>
    <row r="2351" spans="1:2" x14ac:dyDescent="0.3">
      <c r="B2351" t="s">
        <v>193</v>
      </c>
    </row>
    <row r="2352" spans="1:2" x14ac:dyDescent="0.3">
      <c r="B2352" t="s">
        <v>193</v>
      </c>
    </row>
    <row r="2353" spans="1:2" x14ac:dyDescent="0.3">
      <c r="B2353" t="s">
        <v>193</v>
      </c>
    </row>
    <row r="2354" spans="1:2" x14ac:dyDescent="0.3">
      <c r="B2354" t="s">
        <v>249</v>
      </c>
    </row>
    <row r="2355" spans="1:2" x14ac:dyDescent="0.3">
      <c r="B2355" t="s">
        <v>249</v>
      </c>
    </row>
    <row r="2356" spans="1:2" x14ac:dyDescent="0.3">
      <c r="B2356" t="s">
        <v>163</v>
      </c>
    </row>
    <row r="2357" spans="1:2" x14ac:dyDescent="0.3">
      <c r="B2357" t="s">
        <v>193</v>
      </c>
    </row>
    <row r="2358" spans="1:2" x14ac:dyDescent="0.3">
      <c r="A2358" t="s">
        <v>1983</v>
      </c>
      <c r="B2358" t="s">
        <v>193</v>
      </c>
    </row>
    <row r="2359" spans="1:2" x14ac:dyDescent="0.3">
      <c r="A2359" t="s">
        <v>1984</v>
      </c>
      <c r="B2359" t="s">
        <v>193</v>
      </c>
    </row>
    <row r="2360" spans="1:2" x14ac:dyDescent="0.3">
      <c r="A2360" t="s">
        <v>1985</v>
      </c>
      <c r="B2360" t="s">
        <v>759</v>
      </c>
    </row>
    <row r="2361" spans="1:2" x14ac:dyDescent="0.3">
      <c r="A2361" t="s">
        <v>1986</v>
      </c>
      <c r="B2361" t="s">
        <v>193</v>
      </c>
    </row>
    <row r="2362" spans="1:2" x14ac:dyDescent="0.3">
      <c r="B2362" t="s">
        <v>193</v>
      </c>
    </row>
    <row r="2363" spans="1:2" x14ac:dyDescent="0.3">
      <c r="B2363" t="s">
        <v>193</v>
      </c>
    </row>
    <row r="2364" spans="1:2" x14ac:dyDescent="0.3">
      <c r="A2364" t="s">
        <v>1987</v>
      </c>
      <c r="B2364" t="s">
        <v>193</v>
      </c>
    </row>
    <row r="2365" spans="1:2" x14ac:dyDescent="0.3">
      <c r="A2365" t="s">
        <v>1988</v>
      </c>
      <c r="B2365" t="s">
        <v>193</v>
      </c>
    </row>
    <row r="2366" spans="1:2" x14ac:dyDescent="0.3">
      <c r="B2366" t="s">
        <v>193</v>
      </c>
    </row>
    <row r="2367" spans="1:2" x14ac:dyDescent="0.3">
      <c r="A2367" t="s">
        <v>1989</v>
      </c>
      <c r="B2367" t="s">
        <v>1</v>
      </c>
    </row>
    <row r="2368" spans="1:2" x14ac:dyDescent="0.3">
      <c r="A2368" t="s">
        <v>1990</v>
      </c>
      <c r="B2368" t="s">
        <v>193</v>
      </c>
    </row>
    <row r="2369" spans="1:2" x14ac:dyDescent="0.3">
      <c r="A2369" t="s">
        <v>1991</v>
      </c>
      <c r="B2369" t="s">
        <v>193</v>
      </c>
    </row>
    <row r="2370" spans="1:2" x14ac:dyDescent="0.3">
      <c r="A2370" t="s">
        <v>1992</v>
      </c>
      <c r="B2370" t="s">
        <v>195</v>
      </c>
    </row>
    <row r="2371" spans="1:2" x14ac:dyDescent="0.3">
      <c r="A2371" t="s">
        <v>1993</v>
      </c>
      <c r="B2371" t="s">
        <v>195</v>
      </c>
    </row>
    <row r="2372" spans="1:2" x14ac:dyDescent="0.3">
      <c r="B2372" t="s">
        <v>195</v>
      </c>
    </row>
    <row r="2373" spans="1:2" x14ac:dyDescent="0.3">
      <c r="A2373" t="s">
        <v>1994</v>
      </c>
      <c r="B2373" t="s">
        <v>195</v>
      </c>
    </row>
    <row r="2374" spans="1:2" x14ac:dyDescent="0.3">
      <c r="A2374" t="s">
        <v>1995</v>
      </c>
      <c r="B2374" t="s">
        <v>195</v>
      </c>
    </row>
    <row r="2375" spans="1:2" x14ac:dyDescent="0.3">
      <c r="A2375" t="s">
        <v>1996</v>
      </c>
      <c r="B2375" t="s">
        <v>195</v>
      </c>
    </row>
    <row r="2376" spans="1:2" x14ac:dyDescent="0.3">
      <c r="A2376" t="s">
        <v>1997</v>
      </c>
      <c r="B2376" t="s">
        <v>195</v>
      </c>
    </row>
    <row r="2377" spans="1:2" x14ac:dyDescent="0.3">
      <c r="A2377" t="s">
        <v>1998</v>
      </c>
      <c r="B2377" t="s">
        <v>195</v>
      </c>
    </row>
    <row r="2378" spans="1:2" x14ac:dyDescent="0.3">
      <c r="B2378" t="s">
        <v>195</v>
      </c>
    </row>
    <row r="2379" spans="1:2" x14ac:dyDescent="0.3">
      <c r="B2379" t="s">
        <v>195</v>
      </c>
    </row>
    <row r="2380" spans="1:2" x14ac:dyDescent="0.3">
      <c r="B2380" t="s">
        <v>195</v>
      </c>
    </row>
    <row r="2381" spans="1:2" x14ac:dyDescent="0.3">
      <c r="A2381" t="s">
        <v>1999</v>
      </c>
      <c r="B2381" t="s">
        <v>195</v>
      </c>
    </row>
    <row r="2382" spans="1:2" x14ac:dyDescent="0.3">
      <c r="B2382" t="s">
        <v>195</v>
      </c>
    </row>
    <row r="2383" spans="1:2" x14ac:dyDescent="0.3">
      <c r="B2383" t="s">
        <v>195</v>
      </c>
    </row>
    <row r="2384" spans="1:2" x14ac:dyDescent="0.3">
      <c r="B2384" t="s">
        <v>195</v>
      </c>
    </row>
    <row r="2385" spans="1:2" x14ac:dyDescent="0.3">
      <c r="B2385" t="s">
        <v>195</v>
      </c>
    </row>
    <row r="2386" spans="1:2" x14ac:dyDescent="0.3">
      <c r="A2386" t="s">
        <v>2000</v>
      </c>
      <c r="B2386" t="s">
        <v>195</v>
      </c>
    </row>
    <row r="2387" spans="1:2" x14ac:dyDescent="0.3">
      <c r="A2387" t="s">
        <v>2001</v>
      </c>
      <c r="B2387" t="s">
        <v>195</v>
      </c>
    </row>
    <row r="2388" spans="1:2" x14ac:dyDescent="0.3">
      <c r="A2388" t="s">
        <v>2002</v>
      </c>
      <c r="B2388" t="s">
        <v>195</v>
      </c>
    </row>
    <row r="2389" spans="1:2" x14ac:dyDescent="0.3">
      <c r="A2389" t="s">
        <v>2003</v>
      </c>
      <c r="B2389" t="s">
        <v>195</v>
      </c>
    </row>
    <row r="2390" spans="1:2" x14ac:dyDescent="0.3">
      <c r="A2390" t="s">
        <v>2004</v>
      </c>
      <c r="B2390" t="s">
        <v>195</v>
      </c>
    </row>
    <row r="2391" spans="1:2" x14ac:dyDescent="0.3">
      <c r="B2391" t="s">
        <v>195</v>
      </c>
    </row>
    <row r="2392" spans="1:2" x14ac:dyDescent="0.3">
      <c r="A2392" t="s">
        <v>2005</v>
      </c>
      <c r="B2392" t="s">
        <v>195</v>
      </c>
    </row>
    <row r="2393" spans="1:2" x14ac:dyDescent="0.3">
      <c r="B2393" t="s">
        <v>195</v>
      </c>
    </row>
    <row r="2394" spans="1:2" x14ac:dyDescent="0.3">
      <c r="A2394" t="s">
        <v>2006</v>
      </c>
      <c r="B2394" t="s">
        <v>195</v>
      </c>
    </row>
    <row r="2395" spans="1:2" x14ac:dyDescent="0.3">
      <c r="A2395" t="s">
        <v>2007</v>
      </c>
      <c r="B2395" t="s">
        <v>195</v>
      </c>
    </row>
    <row r="2396" spans="1:2" x14ac:dyDescent="0.3">
      <c r="A2396" t="s">
        <v>2008</v>
      </c>
      <c r="B2396" t="s">
        <v>195</v>
      </c>
    </row>
    <row r="2397" spans="1:2" x14ac:dyDescent="0.3">
      <c r="A2397" t="s">
        <v>2009</v>
      </c>
      <c r="B2397" t="s">
        <v>195</v>
      </c>
    </row>
    <row r="2398" spans="1:2" x14ac:dyDescent="0.3">
      <c r="B2398" t="s">
        <v>195</v>
      </c>
    </row>
    <row r="2399" spans="1:2" x14ac:dyDescent="0.3">
      <c r="B2399" t="s">
        <v>195</v>
      </c>
    </row>
    <row r="2400" spans="1:2" x14ac:dyDescent="0.3">
      <c r="B2400" t="s">
        <v>195</v>
      </c>
    </row>
    <row r="2401" spans="1:2" x14ac:dyDescent="0.3">
      <c r="A2401" t="s">
        <v>2010</v>
      </c>
      <c r="B2401" t="s">
        <v>195</v>
      </c>
    </row>
    <row r="2402" spans="1:2" x14ac:dyDescent="0.3">
      <c r="A2402" t="s">
        <v>2011</v>
      </c>
      <c r="B2402" t="s">
        <v>195</v>
      </c>
    </row>
    <row r="2403" spans="1:2" x14ac:dyDescent="0.3">
      <c r="A2403" t="s">
        <v>2012</v>
      </c>
      <c r="B2403" t="s">
        <v>195</v>
      </c>
    </row>
    <row r="2404" spans="1:2" x14ac:dyDescent="0.3">
      <c r="A2404" t="s">
        <v>2013</v>
      </c>
      <c r="B2404" t="s">
        <v>195</v>
      </c>
    </row>
    <row r="2405" spans="1:2" x14ac:dyDescent="0.3">
      <c r="A2405" t="s">
        <v>2014</v>
      </c>
      <c r="B2405" t="s">
        <v>195</v>
      </c>
    </row>
    <row r="2406" spans="1:2" x14ac:dyDescent="0.3">
      <c r="A2406" t="s">
        <v>2015</v>
      </c>
      <c r="B2406" t="s">
        <v>195</v>
      </c>
    </row>
    <row r="2407" spans="1:2" x14ac:dyDescent="0.3">
      <c r="B2407" t="s">
        <v>195</v>
      </c>
    </row>
    <row r="2408" spans="1:2" x14ac:dyDescent="0.3">
      <c r="A2408" t="s">
        <v>2016</v>
      </c>
      <c r="B2408" t="s">
        <v>195</v>
      </c>
    </row>
    <row r="2409" spans="1:2" x14ac:dyDescent="0.3">
      <c r="B2409" t="s">
        <v>195</v>
      </c>
    </row>
    <row r="2410" spans="1:2" x14ac:dyDescent="0.3">
      <c r="A2410" t="s">
        <v>2017</v>
      </c>
      <c r="B2410" t="s">
        <v>195</v>
      </c>
    </row>
    <row r="2411" spans="1:2" x14ac:dyDescent="0.3">
      <c r="A2411" t="s">
        <v>2018</v>
      </c>
      <c r="B2411" t="s">
        <v>195</v>
      </c>
    </row>
    <row r="2412" spans="1:2" x14ac:dyDescent="0.3">
      <c r="A2412" t="s">
        <v>2019</v>
      </c>
      <c r="B2412" t="s">
        <v>195</v>
      </c>
    </row>
    <row r="2413" spans="1:2" x14ac:dyDescent="0.3">
      <c r="B2413" t="s">
        <v>195</v>
      </c>
    </row>
    <row r="2414" spans="1:2" x14ac:dyDescent="0.3">
      <c r="A2414" t="s">
        <v>2020</v>
      </c>
      <c r="B2414" t="s">
        <v>1</v>
      </c>
    </row>
    <row r="2415" spans="1:2" x14ac:dyDescent="0.3">
      <c r="B2415" t="s">
        <v>195</v>
      </c>
    </row>
    <row r="2416" spans="1:2" x14ac:dyDescent="0.3">
      <c r="B2416" t="s">
        <v>195</v>
      </c>
    </row>
    <row r="2417" spans="1:2" x14ac:dyDescent="0.3">
      <c r="B2417" t="s">
        <v>195</v>
      </c>
    </row>
    <row r="2418" spans="1:2" x14ac:dyDescent="0.3">
      <c r="B2418" t="s">
        <v>195</v>
      </c>
    </row>
    <row r="2419" spans="1:2" x14ac:dyDescent="0.3">
      <c r="B2419" t="s">
        <v>195</v>
      </c>
    </row>
    <row r="2420" spans="1:2" x14ac:dyDescent="0.3">
      <c r="A2420" t="s">
        <v>2021</v>
      </c>
      <c r="B2420" t="s">
        <v>195</v>
      </c>
    </row>
    <row r="2421" spans="1:2" x14ac:dyDescent="0.3">
      <c r="A2421" t="s">
        <v>2022</v>
      </c>
      <c r="B2421" t="s">
        <v>195</v>
      </c>
    </row>
    <row r="2422" spans="1:2" x14ac:dyDescent="0.3">
      <c r="A2422" t="s">
        <v>2023</v>
      </c>
      <c r="B2422" t="s">
        <v>195</v>
      </c>
    </row>
    <row r="2423" spans="1:2" x14ac:dyDescent="0.3">
      <c r="A2423" t="s">
        <v>2024</v>
      </c>
      <c r="B2423" t="s">
        <v>195</v>
      </c>
    </row>
    <row r="2424" spans="1:2" x14ac:dyDescent="0.3">
      <c r="A2424" t="s">
        <v>2025</v>
      </c>
      <c r="B2424" t="s">
        <v>195</v>
      </c>
    </row>
    <row r="2425" spans="1:2" x14ac:dyDescent="0.3">
      <c r="A2425" t="s">
        <v>2026</v>
      </c>
      <c r="B2425" t="s">
        <v>195</v>
      </c>
    </row>
    <row r="2426" spans="1:2" x14ac:dyDescent="0.3">
      <c r="B2426" t="s">
        <v>1751</v>
      </c>
    </row>
    <row r="2427" spans="1:2" x14ac:dyDescent="0.3">
      <c r="A2427" t="s">
        <v>2027</v>
      </c>
      <c r="B2427" t="s">
        <v>195</v>
      </c>
    </row>
    <row r="2428" spans="1:2" x14ac:dyDescent="0.3">
      <c r="A2428" t="s">
        <v>2028</v>
      </c>
      <c r="B2428" t="s">
        <v>195</v>
      </c>
    </row>
    <row r="2429" spans="1:2" x14ac:dyDescent="0.3">
      <c r="A2429" t="s">
        <v>2029</v>
      </c>
      <c r="B2429" t="s">
        <v>195</v>
      </c>
    </row>
    <row r="2430" spans="1:2" x14ac:dyDescent="0.3">
      <c r="A2430" t="s">
        <v>2030</v>
      </c>
      <c r="B2430" t="s">
        <v>195</v>
      </c>
    </row>
    <row r="2431" spans="1:2" x14ac:dyDescent="0.3">
      <c r="A2431" t="s">
        <v>2031</v>
      </c>
      <c r="B2431" t="s">
        <v>195</v>
      </c>
    </row>
    <row r="2432" spans="1:2" x14ac:dyDescent="0.3">
      <c r="A2432" t="s">
        <v>2032</v>
      </c>
      <c r="B2432" t="s">
        <v>195</v>
      </c>
    </row>
    <row r="2433" spans="1:2" x14ac:dyDescent="0.3">
      <c r="A2433" t="s">
        <v>2033</v>
      </c>
      <c r="B2433" t="s">
        <v>195</v>
      </c>
    </row>
    <row r="2434" spans="1:2" x14ac:dyDescent="0.3">
      <c r="A2434" t="s">
        <v>2034</v>
      </c>
      <c r="B2434" t="s">
        <v>195</v>
      </c>
    </row>
    <row r="2435" spans="1:2" x14ac:dyDescent="0.3">
      <c r="B2435" t="s">
        <v>195</v>
      </c>
    </row>
    <row r="2436" spans="1:2" x14ac:dyDescent="0.3">
      <c r="B2436" t="s">
        <v>195</v>
      </c>
    </row>
    <row r="2437" spans="1:2" x14ac:dyDescent="0.3">
      <c r="B2437" t="s">
        <v>195</v>
      </c>
    </row>
    <row r="2438" spans="1:2" x14ac:dyDescent="0.3">
      <c r="B2438" t="s">
        <v>195</v>
      </c>
    </row>
    <row r="2439" spans="1:2" x14ac:dyDescent="0.3">
      <c r="B2439" t="s">
        <v>195</v>
      </c>
    </row>
    <row r="2440" spans="1:2" x14ac:dyDescent="0.3">
      <c r="A2440" t="s">
        <v>2035</v>
      </c>
      <c r="B2440" t="s">
        <v>1</v>
      </c>
    </row>
    <row r="2441" spans="1:2" x14ac:dyDescent="0.3">
      <c r="A2441" t="s">
        <v>2036</v>
      </c>
      <c r="B2441" t="s">
        <v>195</v>
      </c>
    </row>
    <row r="2442" spans="1:2" x14ac:dyDescent="0.3">
      <c r="A2442" t="s">
        <v>2037</v>
      </c>
      <c r="B2442" t="s">
        <v>195</v>
      </c>
    </row>
    <row r="2443" spans="1:2" x14ac:dyDescent="0.3">
      <c r="A2443" t="s">
        <v>2038</v>
      </c>
      <c r="B2443" t="s">
        <v>1</v>
      </c>
    </row>
    <row r="2444" spans="1:2" x14ac:dyDescent="0.3">
      <c r="B2444" t="s">
        <v>195</v>
      </c>
    </row>
    <row r="2445" spans="1:2" x14ac:dyDescent="0.3">
      <c r="A2445" t="s">
        <v>2039</v>
      </c>
      <c r="B2445" t="s">
        <v>195</v>
      </c>
    </row>
    <row r="2446" spans="1:2" x14ac:dyDescent="0.3">
      <c r="A2446" t="s">
        <v>2040</v>
      </c>
      <c r="B2446" t="s">
        <v>195</v>
      </c>
    </row>
    <row r="2447" spans="1:2" x14ac:dyDescent="0.3">
      <c r="A2447" t="s">
        <v>2041</v>
      </c>
      <c r="B2447" t="s">
        <v>195</v>
      </c>
    </row>
    <row r="2448" spans="1:2" x14ac:dyDescent="0.3">
      <c r="A2448" t="s">
        <v>2042</v>
      </c>
      <c r="B2448" t="s">
        <v>195</v>
      </c>
    </row>
    <row r="2449" spans="1:2" x14ac:dyDescent="0.3">
      <c r="B2449" t="s">
        <v>195</v>
      </c>
    </row>
    <row r="2450" spans="1:2" x14ac:dyDescent="0.3">
      <c r="A2450" t="s">
        <v>2043</v>
      </c>
      <c r="B2450" t="s">
        <v>195</v>
      </c>
    </row>
    <row r="2451" spans="1:2" x14ac:dyDescent="0.3">
      <c r="A2451" t="s">
        <v>2044</v>
      </c>
      <c r="B2451" t="s">
        <v>182</v>
      </c>
    </row>
    <row r="2452" spans="1:2" x14ac:dyDescent="0.3">
      <c r="B2452" t="s">
        <v>182</v>
      </c>
    </row>
    <row r="2453" spans="1:2" x14ac:dyDescent="0.3">
      <c r="B2453" t="s">
        <v>182</v>
      </c>
    </row>
    <row r="2454" spans="1:2" x14ac:dyDescent="0.3">
      <c r="A2454" t="s">
        <v>2045</v>
      </c>
      <c r="B2454" t="s">
        <v>182</v>
      </c>
    </row>
    <row r="2455" spans="1:2" x14ac:dyDescent="0.3">
      <c r="A2455" t="s">
        <v>2046</v>
      </c>
      <c r="B2455" t="s">
        <v>182</v>
      </c>
    </row>
    <row r="2456" spans="1:2" x14ac:dyDescent="0.3">
      <c r="B2456" t="s">
        <v>182</v>
      </c>
    </row>
    <row r="2457" spans="1:2" x14ac:dyDescent="0.3">
      <c r="A2457" t="s">
        <v>2047</v>
      </c>
      <c r="B2457" t="s">
        <v>182</v>
      </c>
    </row>
    <row r="2458" spans="1:2" x14ac:dyDescent="0.3">
      <c r="A2458" t="s">
        <v>2048</v>
      </c>
      <c r="B2458" t="s">
        <v>182</v>
      </c>
    </row>
    <row r="2459" spans="1:2" x14ac:dyDescent="0.3">
      <c r="A2459" t="s">
        <v>200</v>
      </c>
      <c r="B2459" t="s">
        <v>182</v>
      </c>
    </row>
    <row r="2460" spans="1:2" x14ac:dyDescent="0.3">
      <c r="A2460" t="s">
        <v>2049</v>
      </c>
      <c r="B2460" t="s">
        <v>182</v>
      </c>
    </row>
    <row r="2461" spans="1:2" x14ac:dyDescent="0.3">
      <c r="A2461" t="s">
        <v>2050</v>
      </c>
      <c r="B2461" t="s">
        <v>182</v>
      </c>
    </row>
    <row r="2462" spans="1:2" x14ac:dyDescent="0.3">
      <c r="A2462" t="s">
        <v>2051</v>
      </c>
      <c r="B2462" t="s">
        <v>182</v>
      </c>
    </row>
    <row r="2463" spans="1:2" x14ac:dyDescent="0.3">
      <c r="B2463" t="s">
        <v>182</v>
      </c>
    </row>
    <row r="2464" spans="1:2" x14ac:dyDescent="0.3">
      <c r="A2464" t="s">
        <v>2052</v>
      </c>
      <c r="B2464" t="s">
        <v>182</v>
      </c>
    </row>
    <row r="2465" spans="1:2" x14ac:dyDescent="0.3">
      <c r="A2465" t="s">
        <v>2053</v>
      </c>
      <c r="B2465" t="s">
        <v>182</v>
      </c>
    </row>
    <row r="2466" spans="1:2" x14ac:dyDescent="0.3">
      <c r="A2466" t="s">
        <v>2054</v>
      </c>
      <c r="B2466" t="s">
        <v>182</v>
      </c>
    </row>
    <row r="2467" spans="1:2" x14ac:dyDescent="0.3">
      <c r="B2467" t="s">
        <v>182</v>
      </c>
    </row>
    <row r="2468" spans="1:2" x14ac:dyDescent="0.3">
      <c r="A2468" t="s">
        <v>2055</v>
      </c>
      <c r="B2468" t="s">
        <v>182</v>
      </c>
    </row>
    <row r="2469" spans="1:2" x14ac:dyDescent="0.3">
      <c r="B2469" t="s">
        <v>182</v>
      </c>
    </row>
    <row r="2470" spans="1:2" x14ac:dyDescent="0.3">
      <c r="A2470" t="s">
        <v>2056</v>
      </c>
      <c r="B2470" t="s">
        <v>182</v>
      </c>
    </row>
    <row r="2471" spans="1:2" x14ac:dyDescent="0.3">
      <c r="A2471" t="s">
        <v>2057</v>
      </c>
      <c r="B2471" t="s">
        <v>182</v>
      </c>
    </row>
    <row r="2472" spans="1:2" x14ac:dyDescent="0.3">
      <c r="A2472" t="s">
        <v>2058</v>
      </c>
      <c r="B2472" t="s">
        <v>182</v>
      </c>
    </row>
    <row r="2473" spans="1:2" x14ac:dyDescent="0.3">
      <c r="A2473" t="s">
        <v>2059</v>
      </c>
      <c r="B2473" t="s">
        <v>182</v>
      </c>
    </row>
    <row r="2474" spans="1:2" x14ac:dyDescent="0.3">
      <c r="A2474" t="s">
        <v>2060</v>
      </c>
      <c r="B2474" t="s">
        <v>182</v>
      </c>
    </row>
    <row r="2475" spans="1:2" x14ac:dyDescent="0.3">
      <c r="B2475" t="s">
        <v>182</v>
      </c>
    </row>
    <row r="2476" spans="1:2" x14ac:dyDescent="0.3">
      <c r="A2476" t="s">
        <v>2061</v>
      </c>
      <c r="B2476" t="s">
        <v>182</v>
      </c>
    </row>
    <row r="2477" spans="1:2" x14ac:dyDescent="0.3">
      <c r="A2477" t="s">
        <v>2062</v>
      </c>
      <c r="B2477" t="s">
        <v>182</v>
      </c>
    </row>
    <row r="2478" spans="1:2" x14ac:dyDescent="0.3">
      <c r="A2478" t="s">
        <v>2063</v>
      </c>
      <c r="B2478" t="s">
        <v>182</v>
      </c>
    </row>
    <row r="2479" spans="1:2" x14ac:dyDescent="0.3">
      <c r="A2479" t="s">
        <v>2064</v>
      </c>
      <c r="B2479" t="s">
        <v>182</v>
      </c>
    </row>
    <row r="2480" spans="1:2" x14ac:dyDescent="0.3">
      <c r="A2480" t="s">
        <v>2065</v>
      </c>
      <c r="B2480" t="s">
        <v>182</v>
      </c>
    </row>
    <row r="2481" spans="1:2" x14ac:dyDescent="0.3">
      <c r="A2481" t="s">
        <v>2066</v>
      </c>
      <c r="B2481" t="s">
        <v>182</v>
      </c>
    </row>
    <row r="2482" spans="1:2" x14ac:dyDescent="0.3">
      <c r="A2482" t="s">
        <v>2067</v>
      </c>
      <c r="B2482" t="s">
        <v>182</v>
      </c>
    </row>
    <row r="2483" spans="1:2" x14ac:dyDescent="0.3">
      <c r="A2483" t="s">
        <v>2068</v>
      </c>
      <c r="B2483" t="s">
        <v>182</v>
      </c>
    </row>
    <row r="2484" spans="1:2" x14ac:dyDescent="0.3">
      <c r="A2484" t="s">
        <v>2069</v>
      </c>
      <c r="B2484" t="s">
        <v>182</v>
      </c>
    </row>
    <row r="2485" spans="1:2" x14ac:dyDescent="0.3">
      <c r="B2485" t="s">
        <v>182</v>
      </c>
    </row>
    <row r="2486" spans="1:2" x14ac:dyDescent="0.3">
      <c r="B2486" t="s">
        <v>182</v>
      </c>
    </row>
    <row r="2487" spans="1:2" x14ac:dyDescent="0.3">
      <c r="A2487" t="s">
        <v>2070</v>
      </c>
      <c r="B2487" t="s">
        <v>182</v>
      </c>
    </row>
    <row r="2488" spans="1:2" x14ac:dyDescent="0.3">
      <c r="A2488" t="s">
        <v>2071</v>
      </c>
      <c r="B2488" t="s">
        <v>182</v>
      </c>
    </row>
    <row r="2489" spans="1:2" x14ac:dyDescent="0.3">
      <c r="A2489" t="s">
        <v>2072</v>
      </c>
      <c r="B2489" t="s">
        <v>182</v>
      </c>
    </row>
    <row r="2490" spans="1:2" x14ac:dyDescent="0.3">
      <c r="B2490" t="s">
        <v>182</v>
      </c>
    </row>
    <row r="2491" spans="1:2" x14ac:dyDescent="0.3">
      <c r="B2491" t="s">
        <v>182</v>
      </c>
    </row>
    <row r="2492" spans="1:2" x14ac:dyDescent="0.3">
      <c r="A2492" t="s">
        <v>2073</v>
      </c>
      <c r="B2492" t="s">
        <v>182</v>
      </c>
    </row>
    <row r="2493" spans="1:2" x14ac:dyDescent="0.3">
      <c r="A2493" t="s">
        <v>2074</v>
      </c>
      <c r="B2493" t="s">
        <v>182</v>
      </c>
    </row>
    <row r="2494" spans="1:2" x14ac:dyDescent="0.3">
      <c r="B2494" t="s">
        <v>182</v>
      </c>
    </row>
    <row r="2495" spans="1:2" x14ac:dyDescent="0.3">
      <c r="A2495" t="s">
        <v>2075</v>
      </c>
      <c r="B2495" t="s">
        <v>182</v>
      </c>
    </row>
    <row r="2496" spans="1:2" x14ac:dyDescent="0.3">
      <c r="B2496" t="s">
        <v>182</v>
      </c>
    </row>
    <row r="2497" spans="1:2" x14ac:dyDescent="0.3">
      <c r="A2497" t="s">
        <v>137</v>
      </c>
      <c r="B2497" t="s">
        <v>182</v>
      </c>
    </row>
    <row r="2498" spans="1:2" x14ac:dyDescent="0.3">
      <c r="B2498" t="s">
        <v>182</v>
      </c>
    </row>
    <row r="2499" spans="1:2" x14ac:dyDescent="0.3">
      <c r="A2499" t="s">
        <v>2076</v>
      </c>
      <c r="B2499" t="s">
        <v>182</v>
      </c>
    </row>
    <row r="2500" spans="1:2" x14ac:dyDescent="0.3">
      <c r="B2500" t="s">
        <v>182</v>
      </c>
    </row>
    <row r="2501" spans="1:2" x14ac:dyDescent="0.3">
      <c r="B2501" t="s">
        <v>182</v>
      </c>
    </row>
    <row r="2502" spans="1:2" x14ac:dyDescent="0.3">
      <c r="A2502" t="s">
        <v>2077</v>
      </c>
      <c r="B2502" t="s">
        <v>182</v>
      </c>
    </row>
    <row r="2503" spans="1:2" x14ac:dyDescent="0.3">
      <c r="A2503" t="s">
        <v>2078</v>
      </c>
      <c r="B2503" t="s">
        <v>182</v>
      </c>
    </row>
    <row r="2504" spans="1:2" x14ac:dyDescent="0.3">
      <c r="B2504" t="s">
        <v>182</v>
      </c>
    </row>
    <row r="2505" spans="1:2" x14ac:dyDescent="0.3">
      <c r="A2505" t="s">
        <v>2079</v>
      </c>
      <c r="B2505" t="s">
        <v>182</v>
      </c>
    </row>
    <row r="2506" spans="1:2" x14ac:dyDescent="0.3">
      <c r="B2506" t="s">
        <v>182</v>
      </c>
    </row>
    <row r="2507" spans="1:2" x14ac:dyDescent="0.3">
      <c r="A2507" t="s">
        <v>2080</v>
      </c>
      <c r="B2507" t="s">
        <v>182</v>
      </c>
    </row>
    <row r="2508" spans="1:2" x14ac:dyDescent="0.3">
      <c r="A2508" t="s">
        <v>2081</v>
      </c>
      <c r="B2508" t="s">
        <v>182</v>
      </c>
    </row>
    <row r="2509" spans="1:2" x14ac:dyDescent="0.3">
      <c r="A2509" t="s">
        <v>2082</v>
      </c>
      <c r="B2509" t="s">
        <v>182</v>
      </c>
    </row>
    <row r="2510" spans="1:2" x14ac:dyDescent="0.3">
      <c r="A2510" t="s">
        <v>1097</v>
      </c>
      <c r="B2510" t="s">
        <v>182</v>
      </c>
    </row>
    <row r="2511" spans="1:2" x14ac:dyDescent="0.3">
      <c r="A2511" t="s">
        <v>2083</v>
      </c>
      <c r="B2511" t="s">
        <v>182</v>
      </c>
    </row>
    <row r="2512" spans="1:2" x14ac:dyDescent="0.3">
      <c r="B2512" t="s">
        <v>182</v>
      </c>
    </row>
    <row r="2513" spans="1:2" x14ac:dyDescent="0.3">
      <c r="A2513" t="s">
        <v>2084</v>
      </c>
      <c r="B2513" t="s">
        <v>182</v>
      </c>
    </row>
    <row r="2514" spans="1:2" x14ac:dyDescent="0.3">
      <c r="A2514" t="s">
        <v>2085</v>
      </c>
      <c r="B2514" t="s">
        <v>182</v>
      </c>
    </row>
    <row r="2515" spans="1:2" x14ac:dyDescent="0.3">
      <c r="A2515" t="s">
        <v>2086</v>
      </c>
      <c r="B2515" t="s">
        <v>182</v>
      </c>
    </row>
    <row r="2516" spans="1:2" x14ac:dyDescent="0.3">
      <c r="B2516" t="s">
        <v>182</v>
      </c>
    </row>
    <row r="2517" spans="1:2" x14ac:dyDescent="0.3">
      <c r="A2517" t="s">
        <v>2087</v>
      </c>
      <c r="B2517" t="s">
        <v>182</v>
      </c>
    </row>
    <row r="2518" spans="1:2" x14ac:dyDescent="0.3">
      <c r="B2518" t="s">
        <v>182</v>
      </c>
    </row>
    <row r="2519" spans="1:2" x14ac:dyDescent="0.3">
      <c r="A2519" t="s">
        <v>2088</v>
      </c>
      <c r="B2519" t="s">
        <v>182</v>
      </c>
    </row>
    <row r="2520" spans="1:2" x14ac:dyDescent="0.3">
      <c r="A2520" t="s">
        <v>2089</v>
      </c>
      <c r="B2520" t="s">
        <v>182</v>
      </c>
    </row>
    <row r="2521" spans="1:2" x14ac:dyDescent="0.3">
      <c r="A2521" t="s">
        <v>2090</v>
      </c>
      <c r="B2521" t="s">
        <v>1</v>
      </c>
    </row>
    <row r="2522" spans="1:2" x14ac:dyDescent="0.3">
      <c r="B2522" t="s">
        <v>182</v>
      </c>
    </row>
    <row r="2523" spans="1:2" x14ac:dyDescent="0.3">
      <c r="A2523" t="s">
        <v>2091</v>
      </c>
      <c r="B2523" t="s">
        <v>182</v>
      </c>
    </row>
    <row r="2524" spans="1:2" x14ac:dyDescent="0.3">
      <c r="A2524" t="s">
        <v>2092</v>
      </c>
      <c r="B2524" t="s">
        <v>182</v>
      </c>
    </row>
    <row r="2525" spans="1:2" x14ac:dyDescent="0.3">
      <c r="B2525" t="s">
        <v>182</v>
      </c>
    </row>
    <row r="2526" spans="1:2" x14ac:dyDescent="0.3">
      <c r="B2526" t="s">
        <v>182</v>
      </c>
    </row>
    <row r="2527" spans="1:2" x14ac:dyDescent="0.3">
      <c r="A2527" t="s">
        <v>2093</v>
      </c>
      <c r="B2527" t="s">
        <v>182</v>
      </c>
    </row>
    <row r="2528" spans="1:2" x14ac:dyDescent="0.3">
      <c r="A2528" t="s">
        <v>2094</v>
      </c>
      <c r="B2528" t="s">
        <v>182</v>
      </c>
    </row>
    <row r="2529" spans="1:2" x14ac:dyDescent="0.3">
      <c r="A2529" t="s">
        <v>2095</v>
      </c>
      <c r="B2529" t="s">
        <v>182</v>
      </c>
    </row>
    <row r="2530" spans="1:2" x14ac:dyDescent="0.3">
      <c r="A2530" t="s">
        <v>2096</v>
      </c>
      <c r="B2530" t="s">
        <v>182</v>
      </c>
    </row>
    <row r="2531" spans="1:2" x14ac:dyDescent="0.3">
      <c r="B2531" t="s">
        <v>182</v>
      </c>
    </row>
    <row r="2532" spans="1:2" x14ac:dyDescent="0.3">
      <c r="A2532" t="s">
        <v>2097</v>
      </c>
      <c r="B2532" t="s">
        <v>182</v>
      </c>
    </row>
    <row r="2533" spans="1:2" x14ac:dyDescent="0.3">
      <c r="B2533" t="s">
        <v>182</v>
      </c>
    </row>
    <row r="2534" spans="1:2" x14ac:dyDescent="0.3">
      <c r="A2534" t="s">
        <v>2098</v>
      </c>
      <c r="B2534" t="s">
        <v>182</v>
      </c>
    </row>
    <row r="2535" spans="1:2" x14ac:dyDescent="0.3">
      <c r="A2535" t="s">
        <v>2099</v>
      </c>
      <c r="B2535" t="s">
        <v>182</v>
      </c>
    </row>
    <row r="2536" spans="1:2" x14ac:dyDescent="0.3">
      <c r="A2536" t="s">
        <v>2100</v>
      </c>
      <c r="B2536" t="s">
        <v>182</v>
      </c>
    </row>
    <row r="2537" spans="1:2" x14ac:dyDescent="0.3">
      <c r="A2537" t="s">
        <v>2101</v>
      </c>
      <c r="B2537" t="s">
        <v>182</v>
      </c>
    </row>
    <row r="2538" spans="1:2" x14ac:dyDescent="0.3">
      <c r="A2538" t="s">
        <v>2102</v>
      </c>
      <c r="B2538" t="s">
        <v>182</v>
      </c>
    </row>
    <row r="2539" spans="1:2" x14ac:dyDescent="0.3">
      <c r="A2539" t="s">
        <v>2103</v>
      </c>
      <c r="B2539" t="s">
        <v>182</v>
      </c>
    </row>
    <row r="2540" spans="1:2" x14ac:dyDescent="0.3">
      <c r="A2540" t="s">
        <v>2104</v>
      </c>
      <c r="B2540" t="s">
        <v>182</v>
      </c>
    </row>
    <row r="2541" spans="1:2" x14ac:dyDescent="0.3">
      <c r="A2541" t="s">
        <v>2105</v>
      </c>
      <c r="B2541" t="s">
        <v>1</v>
      </c>
    </row>
    <row r="2542" spans="1:2" x14ac:dyDescent="0.3">
      <c r="A2542" t="s">
        <v>2106</v>
      </c>
      <c r="B2542" t="s">
        <v>182</v>
      </c>
    </row>
    <row r="2543" spans="1:2" x14ac:dyDescent="0.3">
      <c r="A2543" t="s">
        <v>2107</v>
      </c>
      <c r="B2543" t="s">
        <v>182</v>
      </c>
    </row>
    <row r="2544" spans="1:2" x14ac:dyDescent="0.3">
      <c r="A2544" t="s">
        <v>2108</v>
      </c>
      <c r="B2544" t="s">
        <v>182</v>
      </c>
    </row>
    <row r="2545" spans="1:2" x14ac:dyDescent="0.3">
      <c r="A2545" t="s">
        <v>2109</v>
      </c>
      <c r="B2545" t="s">
        <v>182</v>
      </c>
    </row>
    <row r="2546" spans="1:2" x14ac:dyDescent="0.3">
      <c r="A2546" t="s">
        <v>2110</v>
      </c>
      <c r="B2546" t="s">
        <v>182</v>
      </c>
    </row>
    <row r="2547" spans="1:2" x14ac:dyDescent="0.3">
      <c r="A2547" t="s">
        <v>2111</v>
      </c>
      <c r="B2547" t="s">
        <v>182</v>
      </c>
    </row>
    <row r="2548" spans="1:2" x14ac:dyDescent="0.3">
      <c r="A2548" t="s">
        <v>2112</v>
      </c>
      <c r="B2548" t="s">
        <v>182</v>
      </c>
    </row>
    <row r="2549" spans="1:2" x14ac:dyDescent="0.3">
      <c r="A2549" t="s">
        <v>2113</v>
      </c>
      <c r="B2549" t="s">
        <v>182</v>
      </c>
    </row>
    <row r="2550" spans="1:2" x14ac:dyDescent="0.3">
      <c r="A2550" t="s">
        <v>2114</v>
      </c>
      <c r="B2550" t="s">
        <v>182</v>
      </c>
    </row>
    <row r="2551" spans="1:2" x14ac:dyDescent="0.3">
      <c r="A2551" t="s">
        <v>2115</v>
      </c>
      <c r="B2551" t="s">
        <v>182</v>
      </c>
    </row>
    <row r="2552" spans="1:2" x14ac:dyDescent="0.3">
      <c r="A2552" t="s">
        <v>2116</v>
      </c>
      <c r="B2552" t="s">
        <v>182</v>
      </c>
    </row>
    <row r="2553" spans="1:2" x14ac:dyDescent="0.3">
      <c r="A2553" t="s">
        <v>2117</v>
      </c>
      <c r="B2553" t="s">
        <v>182</v>
      </c>
    </row>
    <row r="2554" spans="1:2" x14ac:dyDescent="0.3">
      <c r="A2554" t="s">
        <v>2118</v>
      </c>
      <c r="B2554" t="s">
        <v>182</v>
      </c>
    </row>
    <row r="2555" spans="1:2" x14ac:dyDescent="0.3">
      <c r="A2555" t="s">
        <v>2119</v>
      </c>
      <c r="B2555" t="s">
        <v>182</v>
      </c>
    </row>
    <row r="2556" spans="1:2" x14ac:dyDescent="0.3">
      <c r="A2556" t="s">
        <v>2120</v>
      </c>
      <c r="B2556" t="s">
        <v>182</v>
      </c>
    </row>
    <row r="2557" spans="1:2" x14ac:dyDescent="0.3">
      <c r="B2557" t="s">
        <v>182</v>
      </c>
    </row>
    <row r="2558" spans="1:2" x14ac:dyDescent="0.3">
      <c r="B2558" t="s">
        <v>182</v>
      </c>
    </row>
    <row r="2559" spans="1:2" x14ac:dyDescent="0.3">
      <c r="B2559" t="s">
        <v>182</v>
      </c>
    </row>
    <row r="2560" spans="1:2" x14ac:dyDescent="0.3">
      <c r="A2560" t="s">
        <v>2121</v>
      </c>
      <c r="B2560" t="s">
        <v>182</v>
      </c>
    </row>
    <row r="2561" spans="1:2" x14ac:dyDescent="0.3">
      <c r="A2561" t="s">
        <v>103</v>
      </c>
      <c r="B2561" t="s">
        <v>182</v>
      </c>
    </row>
    <row r="2562" spans="1:2" x14ac:dyDescent="0.3">
      <c r="B2562" t="s">
        <v>182</v>
      </c>
    </row>
    <row r="2563" spans="1:2" x14ac:dyDescent="0.3">
      <c r="A2563" t="s">
        <v>2122</v>
      </c>
      <c r="B2563" t="s">
        <v>182</v>
      </c>
    </row>
    <row r="2564" spans="1:2" x14ac:dyDescent="0.3">
      <c r="A2564" t="s">
        <v>2123</v>
      </c>
      <c r="B2564" t="s">
        <v>182</v>
      </c>
    </row>
    <row r="2565" spans="1:2" x14ac:dyDescent="0.3">
      <c r="A2565" t="s">
        <v>2124</v>
      </c>
      <c r="B2565" t="s">
        <v>182</v>
      </c>
    </row>
    <row r="2566" spans="1:2" x14ac:dyDescent="0.3">
      <c r="B2566" t="s">
        <v>182</v>
      </c>
    </row>
    <row r="2567" spans="1:2" x14ac:dyDescent="0.3">
      <c r="A2567" t="s">
        <v>2125</v>
      </c>
      <c r="B2567" t="s">
        <v>182</v>
      </c>
    </row>
    <row r="2568" spans="1:2" x14ac:dyDescent="0.3">
      <c r="A2568" t="s">
        <v>2126</v>
      </c>
      <c r="B2568" t="s">
        <v>182</v>
      </c>
    </row>
    <row r="2569" spans="1:2" x14ac:dyDescent="0.3">
      <c r="A2569" t="s">
        <v>2127</v>
      </c>
      <c r="B2569" t="s">
        <v>182</v>
      </c>
    </row>
    <row r="2570" spans="1:2" x14ac:dyDescent="0.3">
      <c r="A2570" t="s">
        <v>2128</v>
      </c>
      <c r="B2570" t="s">
        <v>182</v>
      </c>
    </row>
    <row r="2571" spans="1:2" x14ac:dyDescent="0.3">
      <c r="B2571" t="s">
        <v>182</v>
      </c>
    </row>
    <row r="2572" spans="1:2" x14ac:dyDescent="0.3">
      <c r="A2572" t="s">
        <v>2129</v>
      </c>
      <c r="B2572" t="s">
        <v>182</v>
      </c>
    </row>
    <row r="2573" spans="1:2" x14ac:dyDescent="0.3">
      <c r="A2573" t="s">
        <v>2130</v>
      </c>
      <c r="B2573" t="s">
        <v>191</v>
      </c>
    </row>
    <row r="2574" spans="1:2" x14ac:dyDescent="0.3">
      <c r="A2574" t="s">
        <v>2131</v>
      </c>
      <c r="B2574" t="s">
        <v>191</v>
      </c>
    </row>
    <row r="2575" spans="1:2" x14ac:dyDescent="0.3">
      <c r="B2575" t="s">
        <v>191</v>
      </c>
    </row>
    <row r="2576" spans="1:2" x14ac:dyDescent="0.3">
      <c r="A2576" t="s">
        <v>2132</v>
      </c>
      <c r="B2576" t="s">
        <v>191</v>
      </c>
    </row>
    <row r="2577" spans="1:2" x14ac:dyDescent="0.3">
      <c r="A2577" t="s">
        <v>2133</v>
      </c>
      <c r="B2577" t="s">
        <v>191</v>
      </c>
    </row>
    <row r="2578" spans="1:2" x14ac:dyDescent="0.3">
      <c r="B2578" t="s">
        <v>191</v>
      </c>
    </row>
    <row r="2579" spans="1:2" x14ac:dyDescent="0.3">
      <c r="A2579" t="s">
        <v>2134</v>
      </c>
      <c r="B2579" t="s">
        <v>191</v>
      </c>
    </row>
    <row r="2580" spans="1:2" x14ac:dyDescent="0.3">
      <c r="A2580" t="s">
        <v>2135</v>
      </c>
      <c r="B2580" t="s">
        <v>191</v>
      </c>
    </row>
    <row r="2581" spans="1:2" x14ac:dyDescent="0.3">
      <c r="A2581" t="s">
        <v>2136</v>
      </c>
      <c r="B2581" t="s">
        <v>191</v>
      </c>
    </row>
    <row r="2582" spans="1:2" x14ac:dyDescent="0.3">
      <c r="A2582" t="s">
        <v>2137</v>
      </c>
      <c r="B2582" t="s">
        <v>191</v>
      </c>
    </row>
    <row r="2583" spans="1:2" x14ac:dyDescent="0.3">
      <c r="A2583" t="s">
        <v>2138</v>
      </c>
      <c r="B2583" t="s">
        <v>191</v>
      </c>
    </row>
    <row r="2584" spans="1:2" x14ac:dyDescent="0.3">
      <c r="B2584" t="s">
        <v>191</v>
      </c>
    </row>
    <row r="2585" spans="1:2" x14ac:dyDescent="0.3">
      <c r="B2585" t="s">
        <v>191</v>
      </c>
    </row>
    <row r="2586" spans="1:2" x14ac:dyDescent="0.3">
      <c r="A2586" t="s">
        <v>2139</v>
      </c>
      <c r="B2586" t="s">
        <v>191</v>
      </c>
    </row>
    <row r="2587" spans="1:2" x14ac:dyDescent="0.3">
      <c r="B2587" t="s">
        <v>191</v>
      </c>
    </row>
    <row r="2588" spans="1:2" x14ac:dyDescent="0.3">
      <c r="A2588" t="s">
        <v>2140</v>
      </c>
      <c r="B2588" t="s">
        <v>191</v>
      </c>
    </row>
    <row r="2589" spans="1:2" x14ac:dyDescent="0.3">
      <c r="A2589" t="s">
        <v>2141</v>
      </c>
      <c r="B2589" t="s">
        <v>191</v>
      </c>
    </row>
    <row r="2590" spans="1:2" x14ac:dyDescent="0.3">
      <c r="A2590" t="s">
        <v>2142</v>
      </c>
      <c r="B2590" t="s">
        <v>191</v>
      </c>
    </row>
    <row r="2591" spans="1:2" x14ac:dyDescent="0.3">
      <c r="B2591" t="s">
        <v>191</v>
      </c>
    </row>
    <row r="2592" spans="1:2" x14ac:dyDescent="0.3">
      <c r="B2592" t="s">
        <v>191</v>
      </c>
    </row>
    <row r="2593" spans="1:2" x14ac:dyDescent="0.3">
      <c r="B2593" t="s">
        <v>1751</v>
      </c>
    </row>
    <row r="2594" spans="1:2" x14ac:dyDescent="0.3">
      <c r="A2594" t="s">
        <v>2143</v>
      </c>
      <c r="B2594" t="s">
        <v>191</v>
      </c>
    </row>
    <row r="2595" spans="1:2" x14ac:dyDescent="0.3">
      <c r="B2595" t="s">
        <v>191</v>
      </c>
    </row>
    <row r="2596" spans="1:2" x14ac:dyDescent="0.3">
      <c r="A2596" t="s">
        <v>2144</v>
      </c>
      <c r="B2596" t="s">
        <v>191</v>
      </c>
    </row>
    <row r="2597" spans="1:2" x14ac:dyDescent="0.3">
      <c r="A2597" t="s">
        <v>2145</v>
      </c>
      <c r="B2597" t="s">
        <v>191</v>
      </c>
    </row>
    <row r="2598" spans="1:2" x14ac:dyDescent="0.3">
      <c r="A2598" t="s">
        <v>2146</v>
      </c>
      <c r="B2598" t="s">
        <v>191</v>
      </c>
    </row>
    <row r="2599" spans="1:2" x14ac:dyDescent="0.3">
      <c r="A2599" t="s">
        <v>2147</v>
      </c>
      <c r="B2599" t="s">
        <v>191</v>
      </c>
    </row>
    <row r="2600" spans="1:2" x14ac:dyDescent="0.3">
      <c r="A2600" t="s">
        <v>2148</v>
      </c>
      <c r="B2600" t="s">
        <v>2149</v>
      </c>
    </row>
    <row r="2601" spans="1:2" x14ac:dyDescent="0.3">
      <c r="B2601" t="s">
        <v>2149</v>
      </c>
    </row>
    <row r="2602" spans="1:2" x14ac:dyDescent="0.3">
      <c r="A2602" t="s">
        <v>2150</v>
      </c>
      <c r="B2602" t="s">
        <v>2149</v>
      </c>
    </row>
    <row r="2603" spans="1:2" x14ac:dyDescent="0.3">
      <c r="A2603" t="s">
        <v>2151</v>
      </c>
      <c r="B2603" t="s">
        <v>2149</v>
      </c>
    </row>
    <row r="2604" spans="1:2" x14ac:dyDescent="0.3">
      <c r="A2604" t="s">
        <v>2152</v>
      </c>
      <c r="B2604" t="s">
        <v>2149</v>
      </c>
    </row>
    <row r="2605" spans="1:2" x14ac:dyDescent="0.3">
      <c r="A2605" t="s">
        <v>2153</v>
      </c>
      <c r="B2605" t="s">
        <v>2149</v>
      </c>
    </row>
    <row r="2606" spans="1:2" x14ac:dyDescent="0.3">
      <c r="B2606" t="s">
        <v>2149</v>
      </c>
    </row>
    <row r="2607" spans="1:2" x14ac:dyDescent="0.3">
      <c r="B2607" t="s">
        <v>2149</v>
      </c>
    </row>
    <row r="2608" spans="1:2" x14ac:dyDescent="0.3">
      <c r="B2608" t="s">
        <v>2149</v>
      </c>
    </row>
    <row r="2609" spans="1:2" x14ac:dyDescent="0.3">
      <c r="B2609" t="s">
        <v>2149</v>
      </c>
    </row>
    <row r="2610" spans="1:2" x14ac:dyDescent="0.3">
      <c r="B2610" t="s">
        <v>2149</v>
      </c>
    </row>
    <row r="2611" spans="1:2" x14ac:dyDescent="0.3">
      <c r="B2611" t="s">
        <v>2149</v>
      </c>
    </row>
    <row r="2612" spans="1:2" x14ac:dyDescent="0.3">
      <c r="A2612" t="s">
        <v>2154</v>
      </c>
      <c r="B2612" t="s">
        <v>2149</v>
      </c>
    </row>
    <row r="2613" spans="1:2" x14ac:dyDescent="0.3">
      <c r="A2613" t="s">
        <v>2155</v>
      </c>
      <c r="B2613" t="s">
        <v>2149</v>
      </c>
    </row>
    <row r="2614" spans="1:2" x14ac:dyDescent="0.3">
      <c r="B2614" t="s">
        <v>2149</v>
      </c>
    </row>
    <row r="2615" spans="1:2" x14ac:dyDescent="0.3">
      <c r="A2615" t="s">
        <v>2156</v>
      </c>
      <c r="B2615" t="s">
        <v>2149</v>
      </c>
    </row>
    <row r="2616" spans="1:2" x14ac:dyDescent="0.3">
      <c r="B2616" t="s">
        <v>2149</v>
      </c>
    </row>
    <row r="2617" spans="1:2" x14ac:dyDescent="0.3">
      <c r="B2617" t="s">
        <v>2149</v>
      </c>
    </row>
    <row r="2618" spans="1:2" x14ac:dyDescent="0.3">
      <c r="A2618" t="s">
        <v>2157</v>
      </c>
      <c r="B2618" t="s">
        <v>2149</v>
      </c>
    </row>
    <row r="2619" spans="1:2" x14ac:dyDescent="0.3">
      <c r="B2619" t="s">
        <v>2149</v>
      </c>
    </row>
    <row r="2620" spans="1:2" x14ac:dyDescent="0.3">
      <c r="A2620" t="s">
        <v>2158</v>
      </c>
      <c r="B2620" t="s">
        <v>2149</v>
      </c>
    </row>
    <row r="2621" spans="1:2" x14ac:dyDescent="0.3">
      <c r="B2621" t="s">
        <v>2149</v>
      </c>
    </row>
    <row r="2622" spans="1:2" x14ac:dyDescent="0.3">
      <c r="B2622" t="s">
        <v>2149</v>
      </c>
    </row>
    <row r="2623" spans="1:2" x14ac:dyDescent="0.3">
      <c r="A2623" t="s">
        <v>2159</v>
      </c>
      <c r="B2623" t="s">
        <v>2149</v>
      </c>
    </row>
    <row r="2624" spans="1:2" x14ac:dyDescent="0.3">
      <c r="B2624" t="s">
        <v>2149</v>
      </c>
    </row>
    <row r="2625" spans="1:2" x14ac:dyDescent="0.3">
      <c r="B2625" t="s">
        <v>2149</v>
      </c>
    </row>
    <row r="2626" spans="1:2" x14ac:dyDescent="0.3">
      <c r="B2626" t="s">
        <v>2149</v>
      </c>
    </row>
    <row r="2627" spans="1:2" x14ac:dyDescent="0.3">
      <c r="A2627" t="s">
        <v>2160</v>
      </c>
      <c r="B2627" t="s">
        <v>2149</v>
      </c>
    </row>
    <row r="2628" spans="1:2" x14ac:dyDescent="0.3">
      <c r="A2628" t="s">
        <v>2161</v>
      </c>
      <c r="B2628" t="s">
        <v>2149</v>
      </c>
    </row>
    <row r="2629" spans="1:2" x14ac:dyDescent="0.3">
      <c r="B2629" t="s">
        <v>1</v>
      </c>
    </row>
    <row r="2630" spans="1:2" x14ac:dyDescent="0.3">
      <c r="A2630" t="s">
        <v>2162</v>
      </c>
      <c r="B2630" t="s">
        <v>885</v>
      </c>
    </row>
    <row r="2631" spans="1:2" x14ac:dyDescent="0.3">
      <c r="B2631" t="s">
        <v>885</v>
      </c>
    </row>
    <row r="2632" spans="1:2" x14ac:dyDescent="0.3">
      <c r="B2632" t="s">
        <v>885</v>
      </c>
    </row>
    <row r="2633" spans="1:2" x14ac:dyDescent="0.3">
      <c r="B2633" t="s">
        <v>885</v>
      </c>
    </row>
    <row r="2634" spans="1:2" x14ac:dyDescent="0.3">
      <c r="B2634" t="s">
        <v>885</v>
      </c>
    </row>
    <row r="2635" spans="1:2" x14ac:dyDescent="0.3">
      <c r="B2635" t="s">
        <v>885</v>
      </c>
    </row>
    <row r="2636" spans="1:2" x14ac:dyDescent="0.3">
      <c r="A2636" t="s">
        <v>2163</v>
      </c>
      <c r="B2636" t="s">
        <v>173</v>
      </c>
    </row>
    <row r="2637" spans="1:2" x14ac:dyDescent="0.3">
      <c r="A2637" t="s">
        <v>2164</v>
      </c>
      <c r="B2637" t="s">
        <v>173</v>
      </c>
    </row>
    <row r="2638" spans="1:2" x14ac:dyDescent="0.3">
      <c r="B2638" t="s">
        <v>173</v>
      </c>
    </row>
    <row r="2639" spans="1:2" x14ac:dyDescent="0.3">
      <c r="A2639" t="s">
        <v>2165</v>
      </c>
      <c r="B2639" t="s">
        <v>173</v>
      </c>
    </row>
    <row r="2640" spans="1:2" x14ac:dyDescent="0.3">
      <c r="A2640" t="s">
        <v>2166</v>
      </c>
      <c r="B2640" t="s">
        <v>173</v>
      </c>
    </row>
    <row r="2641" spans="1:2" x14ac:dyDescent="0.3">
      <c r="A2641" t="s">
        <v>2167</v>
      </c>
      <c r="B2641" t="s">
        <v>173</v>
      </c>
    </row>
    <row r="2642" spans="1:2" x14ac:dyDescent="0.3">
      <c r="A2642" t="s">
        <v>2168</v>
      </c>
      <c r="B2642" t="s">
        <v>173</v>
      </c>
    </row>
    <row r="2643" spans="1:2" x14ac:dyDescent="0.3">
      <c r="A2643" t="s">
        <v>2169</v>
      </c>
      <c r="B2643" t="s">
        <v>173</v>
      </c>
    </row>
    <row r="2644" spans="1:2" x14ac:dyDescent="0.3">
      <c r="A2644" t="s">
        <v>2170</v>
      </c>
      <c r="B2644" t="s">
        <v>173</v>
      </c>
    </row>
    <row r="2645" spans="1:2" x14ac:dyDescent="0.3">
      <c r="A2645" t="s">
        <v>2171</v>
      </c>
      <c r="B2645" t="s">
        <v>173</v>
      </c>
    </row>
    <row r="2646" spans="1:2" x14ac:dyDescent="0.3">
      <c r="A2646" t="s">
        <v>2172</v>
      </c>
      <c r="B2646" t="s">
        <v>173</v>
      </c>
    </row>
    <row r="2647" spans="1:2" x14ac:dyDescent="0.3">
      <c r="A2647" t="s">
        <v>2173</v>
      </c>
      <c r="B2647" t="s">
        <v>173</v>
      </c>
    </row>
    <row r="2648" spans="1:2" x14ac:dyDescent="0.3">
      <c r="A2648" t="s">
        <v>2174</v>
      </c>
      <c r="B2648" t="s">
        <v>173</v>
      </c>
    </row>
    <row r="2649" spans="1:2" x14ac:dyDescent="0.3">
      <c r="A2649" t="s">
        <v>2175</v>
      </c>
      <c r="B2649" t="s">
        <v>173</v>
      </c>
    </row>
    <row r="2650" spans="1:2" x14ac:dyDescent="0.3">
      <c r="A2650" t="s">
        <v>2176</v>
      </c>
      <c r="B2650" t="s">
        <v>173</v>
      </c>
    </row>
    <row r="2651" spans="1:2" x14ac:dyDescent="0.3">
      <c r="B2651" t="s">
        <v>173</v>
      </c>
    </row>
    <row r="2652" spans="1:2" x14ac:dyDescent="0.3">
      <c r="A2652" t="s">
        <v>2177</v>
      </c>
      <c r="B2652" t="s">
        <v>1</v>
      </c>
    </row>
    <row r="2653" spans="1:2" x14ac:dyDescent="0.3">
      <c r="A2653" t="s">
        <v>2178</v>
      </c>
      <c r="B2653" t="s">
        <v>173</v>
      </c>
    </row>
    <row r="2654" spans="1:2" x14ac:dyDescent="0.3">
      <c r="B2654" t="s">
        <v>173</v>
      </c>
    </row>
    <row r="2655" spans="1:2" x14ac:dyDescent="0.3">
      <c r="A2655" t="s">
        <v>2179</v>
      </c>
      <c r="B2655" t="s">
        <v>173</v>
      </c>
    </row>
    <row r="2656" spans="1:2" x14ac:dyDescent="0.3">
      <c r="A2656" t="s">
        <v>2180</v>
      </c>
      <c r="B2656" t="s">
        <v>173</v>
      </c>
    </row>
    <row r="2657" spans="1:2" x14ac:dyDescent="0.3">
      <c r="B2657" t="s">
        <v>173</v>
      </c>
    </row>
    <row r="2658" spans="1:2" x14ac:dyDescent="0.3">
      <c r="B2658" t="s">
        <v>173</v>
      </c>
    </row>
    <row r="2659" spans="1:2" x14ac:dyDescent="0.3">
      <c r="A2659" t="s">
        <v>2181</v>
      </c>
      <c r="B2659" t="s">
        <v>173</v>
      </c>
    </row>
    <row r="2660" spans="1:2" x14ac:dyDescent="0.3">
      <c r="A2660" t="s">
        <v>2182</v>
      </c>
      <c r="B2660" t="s">
        <v>173</v>
      </c>
    </row>
    <row r="2661" spans="1:2" x14ac:dyDescent="0.3">
      <c r="A2661" t="s">
        <v>2183</v>
      </c>
      <c r="B2661" t="s">
        <v>173</v>
      </c>
    </row>
    <row r="2662" spans="1:2" x14ac:dyDescent="0.3">
      <c r="A2662" t="s">
        <v>2184</v>
      </c>
      <c r="B2662" t="s">
        <v>173</v>
      </c>
    </row>
    <row r="2663" spans="1:2" x14ac:dyDescent="0.3">
      <c r="A2663" t="s">
        <v>2185</v>
      </c>
      <c r="B2663" t="s">
        <v>173</v>
      </c>
    </row>
    <row r="2664" spans="1:2" x14ac:dyDescent="0.3">
      <c r="A2664" t="s">
        <v>2186</v>
      </c>
      <c r="B2664" t="s">
        <v>173</v>
      </c>
    </row>
    <row r="2665" spans="1:2" x14ac:dyDescent="0.3">
      <c r="A2665" t="s">
        <v>2187</v>
      </c>
      <c r="B2665" t="s">
        <v>173</v>
      </c>
    </row>
    <row r="2666" spans="1:2" x14ac:dyDescent="0.3">
      <c r="A2666" t="s">
        <v>2188</v>
      </c>
      <c r="B2666" t="s">
        <v>173</v>
      </c>
    </row>
    <row r="2667" spans="1:2" x14ac:dyDescent="0.3">
      <c r="A2667" t="s">
        <v>2189</v>
      </c>
      <c r="B2667" t="s">
        <v>173</v>
      </c>
    </row>
    <row r="2668" spans="1:2" x14ac:dyDescent="0.3">
      <c r="B2668" t="s">
        <v>173</v>
      </c>
    </row>
    <row r="2669" spans="1:2" x14ac:dyDescent="0.3">
      <c r="A2669" t="s">
        <v>2190</v>
      </c>
      <c r="B2669" t="s">
        <v>173</v>
      </c>
    </row>
    <row r="2670" spans="1:2" x14ac:dyDescent="0.3">
      <c r="A2670" t="s">
        <v>2191</v>
      </c>
      <c r="B2670" t="s">
        <v>173</v>
      </c>
    </row>
    <row r="2671" spans="1:2" x14ac:dyDescent="0.3">
      <c r="B2671" t="s">
        <v>173</v>
      </c>
    </row>
    <row r="2672" spans="1:2" x14ac:dyDescent="0.3">
      <c r="A2672" t="s">
        <v>2192</v>
      </c>
      <c r="B2672" t="s">
        <v>173</v>
      </c>
    </row>
    <row r="2673" spans="1:2" x14ac:dyDescent="0.3">
      <c r="A2673" t="s">
        <v>2193</v>
      </c>
      <c r="B2673" t="s">
        <v>173</v>
      </c>
    </row>
    <row r="2674" spans="1:2" x14ac:dyDescent="0.3">
      <c r="A2674" t="s">
        <v>2194</v>
      </c>
      <c r="B2674" t="s">
        <v>173</v>
      </c>
    </row>
    <row r="2675" spans="1:2" x14ac:dyDescent="0.3">
      <c r="B2675" t="s">
        <v>173</v>
      </c>
    </row>
    <row r="2676" spans="1:2" x14ac:dyDescent="0.3">
      <c r="A2676" t="s">
        <v>2195</v>
      </c>
      <c r="B2676" t="s">
        <v>173</v>
      </c>
    </row>
    <row r="2677" spans="1:2" x14ac:dyDescent="0.3">
      <c r="A2677" t="s">
        <v>2196</v>
      </c>
      <c r="B2677" t="s">
        <v>173</v>
      </c>
    </row>
    <row r="2678" spans="1:2" x14ac:dyDescent="0.3">
      <c r="A2678" t="s">
        <v>2197</v>
      </c>
      <c r="B2678" t="s">
        <v>173</v>
      </c>
    </row>
    <row r="2679" spans="1:2" x14ac:dyDescent="0.3">
      <c r="A2679" t="s">
        <v>2198</v>
      </c>
      <c r="B2679" t="s">
        <v>173</v>
      </c>
    </row>
    <row r="2680" spans="1:2" x14ac:dyDescent="0.3">
      <c r="A2680" t="s">
        <v>2199</v>
      </c>
      <c r="B2680" t="s">
        <v>173</v>
      </c>
    </row>
    <row r="2681" spans="1:2" x14ac:dyDescent="0.3">
      <c r="A2681" t="s">
        <v>2200</v>
      </c>
      <c r="B2681" t="s">
        <v>173</v>
      </c>
    </row>
    <row r="2682" spans="1:2" x14ac:dyDescent="0.3">
      <c r="A2682" t="s">
        <v>2201</v>
      </c>
      <c r="B2682" t="s">
        <v>173</v>
      </c>
    </row>
    <row r="2683" spans="1:2" x14ac:dyDescent="0.3">
      <c r="A2683" t="s">
        <v>2202</v>
      </c>
      <c r="B2683" t="s">
        <v>173</v>
      </c>
    </row>
    <row r="2684" spans="1:2" x14ac:dyDescent="0.3">
      <c r="A2684" t="s">
        <v>2203</v>
      </c>
      <c r="B2684" t="s">
        <v>173</v>
      </c>
    </row>
    <row r="2685" spans="1:2" x14ac:dyDescent="0.3">
      <c r="A2685" t="s">
        <v>2204</v>
      </c>
      <c r="B2685" t="s">
        <v>173</v>
      </c>
    </row>
    <row r="2686" spans="1:2" x14ac:dyDescent="0.3">
      <c r="A2686" t="s">
        <v>2205</v>
      </c>
      <c r="B2686" t="s">
        <v>173</v>
      </c>
    </row>
    <row r="2687" spans="1:2" x14ac:dyDescent="0.3">
      <c r="A2687" t="s">
        <v>2206</v>
      </c>
      <c r="B2687" t="s">
        <v>173</v>
      </c>
    </row>
    <row r="2688" spans="1:2" x14ac:dyDescent="0.3">
      <c r="A2688" t="s">
        <v>2207</v>
      </c>
      <c r="B2688" t="s">
        <v>2208</v>
      </c>
    </row>
    <row r="2689" spans="1:2" x14ac:dyDescent="0.3">
      <c r="A2689" t="s">
        <v>2209</v>
      </c>
      <c r="B2689" t="s">
        <v>2208</v>
      </c>
    </row>
    <row r="2690" spans="1:2" x14ac:dyDescent="0.3">
      <c r="B2690" t="s">
        <v>2208</v>
      </c>
    </row>
    <row r="2691" spans="1:2" x14ac:dyDescent="0.3">
      <c r="A2691" t="s">
        <v>2210</v>
      </c>
      <c r="B2691" t="s">
        <v>2208</v>
      </c>
    </row>
    <row r="2692" spans="1:2" x14ac:dyDescent="0.3">
      <c r="A2692" t="s">
        <v>2211</v>
      </c>
      <c r="B2692" t="s">
        <v>2208</v>
      </c>
    </row>
    <row r="2693" spans="1:2" x14ac:dyDescent="0.3">
      <c r="B2693" t="s">
        <v>2208</v>
      </c>
    </row>
    <row r="2694" spans="1:2" x14ac:dyDescent="0.3">
      <c r="A2694" t="s">
        <v>2212</v>
      </c>
      <c r="B2694" t="s">
        <v>2208</v>
      </c>
    </row>
    <row r="2695" spans="1:2" x14ac:dyDescent="0.3">
      <c r="A2695" t="s">
        <v>2213</v>
      </c>
      <c r="B2695" t="s">
        <v>2208</v>
      </c>
    </row>
    <row r="2696" spans="1:2" x14ac:dyDescent="0.3">
      <c r="B2696" t="s">
        <v>2208</v>
      </c>
    </row>
    <row r="2697" spans="1:2" x14ac:dyDescent="0.3">
      <c r="A2697" t="s">
        <v>2214</v>
      </c>
      <c r="B2697" t="s">
        <v>2208</v>
      </c>
    </row>
    <row r="2698" spans="1:2" x14ac:dyDescent="0.3">
      <c r="A2698" t="s">
        <v>2215</v>
      </c>
      <c r="B2698" t="s">
        <v>2208</v>
      </c>
    </row>
    <row r="2699" spans="1:2" x14ac:dyDescent="0.3">
      <c r="A2699" t="s">
        <v>2216</v>
      </c>
      <c r="B2699" t="s">
        <v>2208</v>
      </c>
    </row>
    <row r="2700" spans="1:2" x14ac:dyDescent="0.3">
      <c r="B2700" t="s">
        <v>2208</v>
      </c>
    </row>
    <row r="2701" spans="1:2" x14ac:dyDescent="0.3">
      <c r="A2701" t="s">
        <v>2217</v>
      </c>
      <c r="B2701" t="s">
        <v>2208</v>
      </c>
    </row>
    <row r="2702" spans="1:2" x14ac:dyDescent="0.3">
      <c r="A2702" t="s">
        <v>2218</v>
      </c>
      <c r="B2702" t="s">
        <v>2208</v>
      </c>
    </row>
    <row r="2703" spans="1:2" x14ac:dyDescent="0.3">
      <c r="A2703" t="s">
        <v>2219</v>
      </c>
      <c r="B2703" t="s">
        <v>2220</v>
      </c>
    </row>
    <row r="2704" spans="1:2" x14ac:dyDescent="0.3">
      <c r="A2704" t="s">
        <v>2221</v>
      </c>
      <c r="B2704" t="s">
        <v>2222</v>
      </c>
    </row>
    <row r="2705" spans="1:2" x14ac:dyDescent="0.3">
      <c r="B2705" t="s">
        <v>2222</v>
      </c>
    </row>
    <row r="2706" spans="1:2" x14ac:dyDescent="0.3">
      <c r="B2706" t="s">
        <v>199</v>
      </c>
    </row>
    <row r="2707" spans="1:2" x14ac:dyDescent="0.3">
      <c r="B2707" t="s">
        <v>199</v>
      </c>
    </row>
    <row r="2708" spans="1:2" x14ac:dyDescent="0.3">
      <c r="B2708" t="s">
        <v>199</v>
      </c>
    </row>
    <row r="2709" spans="1:2" x14ac:dyDescent="0.3">
      <c r="A2709" t="s">
        <v>2223</v>
      </c>
      <c r="B2709" t="s">
        <v>1</v>
      </c>
    </row>
    <row r="2710" spans="1:2" x14ac:dyDescent="0.3">
      <c r="B2710" t="s">
        <v>199</v>
      </c>
    </row>
    <row r="2711" spans="1:2" x14ac:dyDescent="0.3">
      <c r="A2711" t="s">
        <v>2224</v>
      </c>
      <c r="B2711" t="s">
        <v>199</v>
      </c>
    </row>
    <row r="2712" spans="1:2" x14ac:dyDescent="0.3">
      <c r="A2712" t="s">
        <v>2225</v>
      </c>
      <c r="B2712" t="s">
        <v>199</v>
      </c>
    </row>
    <row r="2713" spans="1:2" x14ac:dyDescent="0.3">
      <c r="B2713" t="s">
        <v>199</v>
      </c>
    </row>
    <row r="2714" spans="1:2" x14ac:dyDescent="0.3">
      <c r="B2714" t="s">
        <v>199</v>
      </c>
    </row>
    <row r="2715" spans="1:2" x14ac:dyDescent="0.3">
      <c r="A2715" t="s">
        <v>2226</v>
      </c>
      <c r="B2715" t="s">
        <v>199</v>
      </c>
    </row>
    <row r="2716" spans="1:2" x14ac:dyDescent="0.3">
      <c r="A2716" t="s">
        <v>2227</v>
      </c>
      <c r="B2716" t="s">
        <v>199</v>
      </c>
    </row>
    <row r="2717" spans="1:2" x14ac:dyDescent="0.3">
      <c r="A2717" t="s">
        <v>2228</v>
      </c>
      <c r="B2717" t="s">
        <v>199</v>
      </c>
    </row>
    <row r="2718" spans="1:2" x14ac:dyDescent="0.3">
      <c r="A2718" t="s">
        <v>1751</v>
      </c>
      <c r="B2718" t="s">
        <v>199</v>
      </c>
    </row>
    <row r="2719" spans="1:2" x14ac:dyDescent="0.3">
      <c r="A2719" t="s">
        <v>2229</v>
      </c>
      <c r="B2719" t="s">
        <v>199</v>
      </c>
    </row>
    <row r="2720" spans="1:2" x14ac:dyDescent="0.3">
      <c r="A2720" t="s">
        <v>2230</v>
      </c>
      <c r="B2720" t="s">
        <v>199</v>
      </c>
    </row>
    <row r="2721" spans="1:2" x14ac:dyDescent="0.3">
      <c r="B2721" t="s">
        <v>199</v>
      </c>
    </row>
    <row r="2722" spans="1:2" x14ac:dyDescent="0.3">
      <c r="A2722" t="s">
        <v>2231</v>
      </c>
      <c r="B2722" t="s">
        <v>199</v>
      </c>
    </row>
    <row r="2723" spans="1:2" x14ac:dyDescent="0.3">
      <c r="A2723" t="s">
        <v>2232</v>
      </c>
      <c r="B2723" t="s">
        <v>1</v>
      </c>
    </row>
    <row r="2724" spans="1:2" x14ac:dyDescent="0.3">
      <c r="B2724" t="s">
        <v>199</v>
      </c>
    </row>
    <row r="2725" spans="1:2" x14ac:dyDescent="0.3">
      <c r="B2725" t="s">
        <v>199</v>
      </c>
    </row>
    <row r="2726" spans="1:2" x14ac:dyDescent="0.3">
      <c r="A2726" t="s">
        <v>2233</v>
      </c>
      <c r="B2726" t="s">
        <v>199</v>
      </c>
    </row>
    <row r="2727" spans="1:2" x14ac:dyDescent="0.3">
      <c r="A2727" t="s">
        <v>2234</v>
      </c>
      <c r="B2727" t="s">
        <v>199</v>
      </c>
    </row>
    <row r="2728" spans="1:2" x14ac:dyDescent="0.3">
      <c r="B2728" t="s">
        <v>199</v>
      </c>
    </row>
    <row r="2729" spans="1:2" x14ac:dyDescent="0.3">
      <c r="A2729" t="s">
        <v>2235</v>
      </c>
      <c r="B2729" t="s">
        <v>199</v>
      </c>
    </row>
    <row r="2730" spans="1:2" x14ac:dyDescent="0.3">
      <c r="A2730" t="s">
        <v>2236</v>
      </c>
      <c r="B2730" t="s">
        <v>199</v>
      </c>
    </row>
    <row r="2731" spans="1:2" x14ac:dyDescent="0.3">
      <c r="A2731" t="s">
        <v>2237</v>
      </c>
      <c r="B2731" t="s">
        <v>199</v>
      </c>
    </row>
    <row r="2732" spans="1:2" x14ac:dyDescent="0.3">
      <c r="B2732" t="s">
        <v>199</v>
      </c>
    </row>
    <row r="2733" spans="1:2" x14ac:dyDescent="0.3">
      <c r="A2733" t="s">
        <v>2238</v>
      </c>
      <c r="B2733" t="s">
        <v>199</v>
      </c>
    </row>
    <row r="2734" spans="1:2" x14ac:dyDescent="0.3">
      <c r="A2734" t="s">
        <v>2239</v>
      </c>
      <c r="B2734" t="s">
        <v>199</v>
      </c>
    </row>
    <row r="2735" spans="1:2" x14ac:dyDescent="0.3">
      <c r="A2735" t="s">
        <v>2240</v>
      </c>
      <c r="B2735" t="s">
        <v>199</v>
      </c>
    </row>
    <row r="2736" spans="1:2" x14ac:dyDescent="0.3">
      <c r="A2736" t="s">
        <v>2241</v>
      </c>
      <c r="B2736" t="s">
        <v>199</v>
      </c>
    </row>
    <row r="2737" spans="1:2" x14ac:dyDescent="0.3">
      <c r="A2737" t="s">
        <v>2242</v>
      </c>
      <c r="B2737" t="s">
        <v>199</v>
      </c>
    </row>
    <row r="2738" spans="1:2" x14ac:dyDescent="0.3">
      <c r="A2738" t="s">
        <v>2243</v>
      </c>
      <c r="B2738" t="s">
        <v>199</v>
      </c>
    </row>
    <row r="2739" spans="1:2" x14ac:dyDescent="0.3">
      <c r="A2739" t="s">
        <v>2244</v>
      </c>
      <c r="B2739" t="s">
        <v>199</v>
      </c>
    </row>
    <row r="2740" spans="1:2" x14ac:dyDescent="0.3">
      <c r="B2740" t="s">
        <v>174</v>
      </c>
    </row>
    <row r="2741" spans="1:2" x14ac:dyDescent="0.3">
      <c r="A2741" t="s">
        <v>2245</v>
      </c>
      <c r="B2741" t="s">
        <v>199</v>
      </c>
    </row>
    <row r="2742" spans="1:2" x14ac:dyDescent="0.3">
      <c r="B2742" t="s">
        <v>1779</v>
      </c>
    </row>
    <row r="2743" spans="1:2" x14ac:dyDescent="0.3">
      <c r="B2743" t="s">
        <v>1779</v>
      </c>
    </row>
    <row r="2744" spans="1:2" x14ac:dyDescent="0.3">
      <c r="B2744" t="s">
        <v>1</v>
      </c>
    </row>
    <row r="2745" spans="1:2" x14ac:dyDescent="0.3">
      <c r="A2745" t="s">
        <v>2246</v>
      </c>
      <c r="B2745" t="s">
        <v>1779</v>
      </c>
    </row>
    <row r="2746" spans="1:2" x14ac:dyDescent="0.3">
      <c r="A2746" t="s">
        <v>2247</v>
      </c>
      <c r="B2746" t="s">
        <v>1779</v>
      </c>
    </row>
    <row r="2747" spans="1:2" x14ac:dyDescent="0.3">
      <c r="A2747" t="s">
        <v>2248</v>
      </c>
      <c r="B2747" t="s">
        <v>2249</v>
      </c>
    </row>
    <row r="2748" spans="1:2" x14ac:dyDescent="0.3">
      <c r="A2748" t="s">
        <v>2250</v>
      </c>
      <c r="B2748" t="s">
        <v>2249</v>
      </c>
    </row>
    <row r="2749" spans="1:2" x14ac:dyDescent="0.3">
      <c r="B2749" t="s">
        <v>2249</v>
      </c>
    </row>
    <row r="2750" spans="1:2" x14ac:dyDescent="0.3">
      <c r="A2750" t="s">
        <v>2251</v>
      </c>
      <c r="B2750" t="s">
        <v>2249</v>
      </c>
    </row>
    <row r="2751" spans="1:2" x14ac:dyDescent="0.3">
      <c r="A2751" t="s">
        <v>2252</v>
      </c>
      <c r="B2751" t="s">
        <v>2249</v>
      </c>
    </row>
    <row r="2752" spans="1:2" x14ac:dyDescent="0.3">
      <c r="B2752" t="s">
        <v>2249</v>
      </c>
    </row>
    <row r="2753" spans="1:2" x14ac:dyDescent="0.3">
      <c r="A2753" t="s">
        <v>2253</v>
      </c>
      <c r="B2753" t="s">
        <v>2249</v>
      </c>
    </row>
    <row r="2754" spans="1:2" x14ac:dyDescent="0.3">
      <c r="A2754" t="s">
        <v>2254</v>
      </c>
      <c r="B2754" t="s">
        <v>2249</v>
      </c>
    </row>
    <row r="2755" spans="1:2" x14ac:dyDescent="0.3">
      <c r="B2755" t="s">
        <v>2249</v>
      </c>
    </row>
    <row r="2756" spans="1:2" x14ac:dyDescent="0.3">
      <c r="B2756" t="s">
        <v>2249</v>
      </c>
    </row>
    <row r="2757" spans="1:2" x14ac:dyDescent="0.3">
      <c r="B2757" t="s">
        <v>2249</v>
      </c>
    </row>
    <row r="2758" spans="1:2" x14ac:dyDescent="0.3">
      <c r="A2758" t="s">
        <v>2255</v>
      </c>
      <c r="B2758" t="s">
        <v>2249</v>
      </c>
    </row>
    <row r="2759" spans="1:2" x14ac:dyDescent="0.3">
      <c r="B2759" t="s">
        <v>2249</v>
      </c>
    </row>
    <row r="2760" spans="1:2" x14ac:dyDescent="0.3">
      <c r="A2760" t="s">
        <v>2256</v>
      </c>
      <c r="B2760" t="s">
        <v>2249</v>
      </c>
    </row>
    <row r="2761" spans="1:2" x14ac:dyDescent="0.3">
      <c r="A2761" t="s">
        <v>228</v>
      </c>
      <c r="B2761" t="s">
        <v>2249</v>
      </c>
    </row>
    <row r="2762" spans="1:2" x14ac:dyDescent="0.3">
      <c r="B2762" t="s">
        <v>2249</v>
      </c>
    </row>
    <row r="2763" spans="1:2" x14ac:dyDescent="0.3">
      <c r="A2763" t="s">
        <v>2257</v>
      </c>
      <c r="B2763" t="s">
        <v>2249</v>
      </c>
    </row>
    <row r="2764" spans="1:2" x14ac:dyDescent="0.3">
      <c r="B2764" t="s">
        <v>2249</v>
      </c>
    </row>
    <row r="2765" spans="1:2" x14ac:dyDescent="0.3">
      <c r="B2765" t="s">
        <v>2249</v>
      </c>
    </row>
    <row r="2766" spans="1:2" x14ac:dyDescent="0.3">
      <c r="B2766" t="s">
        <v>2249</v>
      </c>
    </row>
    <row r="2767" spans="1:2" x14ac:dyDescent="0.3">
      <c r="B2767" t="s">
        <v>2249</v>
      </c>
    </row>
    <row r="2768" spans="1:2" x14ac:dyDescent="0.3">
      <c r="A2768" t="s">
        <v>2258</v>
      </c>
      <c r="B2768" t="s">
        <v>2249</v>
      </c>
    </row>
    <row r="2769" spans="1:2" x14ac:dyDescent="0.3">
      <c r="A2769" t="s">
        <v>2259</v>
      </c>
      <c r="B2769" t="s">
        <v>2249</v>
      </c>
    </row>
    <row r="2770" spans="1:2" x14ac:dyDescent="0.3">
      <c r="B2770" t="s">
        <v>2249</v>
      </c>
    </row>
    <row r="2771" spans="1:2" x14ac:dyDescent="0.3">
      <c r="B2771" t="s">
        <v>2249</v>
      </c>
    </row>
    <row r="2772" spans="1:2" x14ac:dyDescent="0.3">
      <c r="A2772" t="s">
        <v>2260</v>
      </c>
      <c r="B2772" t="s">
        <v>2249</v>
      </c>
    </row>
    <row r="2773" spans="1:2" x14ac:dyDescent="0.3">
      <c r="B2773" t="s">
        <v>2249</v>
      </c>
    </row>
    <row r="2774" spans="1:2" x14ac:dyDescent="0.3">
      <c r="A2774" t="s">
        <v>2261</v>
      </c>
      <c r="B2774" t="s">
        <v>2249</v>
      </c>
    </row>
    <row r="2775" spans="1:2" x14ac:dyDescent="0.3">
      <c r="B2775" t="s">
        <v>2249</v>
      </c>
    </row>
    <row r="2776" spans="1:2" x14ac:dyDescent="0.3">
      <c r="A2776" t="s">
        <v>261</v>
      </c>
      <c r="B2776" t="s">
        <v>2249</v>
      </c>
    </row>
    <row r="2777" spans="1:2" x14ac:dyDescent="0.3">
      <c r="A2777" t="s">
        <v>2262</v>
      </c>
      <c r="B2777" t="s">
        <v>2249</v>
      </c>
    </row>
    <row r="2778" spans="1:2" x14ac:dyDescent="0.3">
      <c r="A2778" t="s">
        <v>2263</v>
      </c>
      <c r="B2778" t="s">
        <v>2249</v>
      </c>
    </row>
    <row r="2779" spans="1:2" x14ac:dyDescent="0.3">
      <c r="A2779" t="s">
        <v>2264</v>
      </c>
      <c r="B2779" t="s">
        <v>2249</v>
      </c>
    </row>
    <row r="2780" spans="1:2" x14ac:dyDescent="0.3">
      <c r="A2780" t="s">
        <v>2265</v>
      </c>
      <c r="B2780" t="s">
        <v>2249</v>
      </c>
    </row>
    <row r="2781" spans="1:2" x14ac:dyDescent="0.3">
      <c r="A2781" t="s">
        <v>2266</v>
      </c>
      <c r="B2781" t="s">
        <v>2249</v>
      </c>
    </row>
    <row r="2782" spans="1:2" x14ac:dyDescent="0.3">
      <c r="A2782" t="s">
        <v>2267</v>
      </c>
      <c r="B2782" t="s">
        <v>2249</v>
      </c>
    </row>
    <row r="2783" spans="1:2" x14ac:dyDescent="0.3">
      <c r="B2783" t="s">
        <v>2249</v>
      </c>
    </row>
    <row r="2784" spans="1:2" x14ac:dyDescent="0.3">
      <c r="A2784" t="s">
        <v>2268</v>
      </c>
      <c r="B2784" t="s">
        <v>2249</v>
      </c>
    </row>
    <row r="2785" spans="1:2" x14ac:dyDescent="0.3">
      <c r="B2785" t="s">
        <v>2249</v>
      </c>
    </row>
    <row r="2786" spans="1:2" x14ac:dyDescent="0.3">
      <c r="A2786" t="s">
        <v>2269</v>
      </c>
      <c r="B2786" t="s">
        <v>2249</v>
      </c>
    </row>
    <row r="2787" spans="1:2" x14ac:dyDescent="0.3">
      <c r="B2787" t="s">
        <v>2249</v>
      </c>
    </row>
    <row r="2788" spans="1:2" x14ac:dyDescent="0.3">
      <c r="B2788" t="s">
        <v>2249</v>
      </c>
    </row>
    <row r="2789" spans="1:2" x14ac:dyDescent="0.3">
      <c r="A2789" t="s">
        <v>2270</v>
      </c>
      <c r="B2789" t="s">
        <v>2249</v>
      </c>
    </row>
    <row r="2790" spans="1:2" x14ac:dyDescent="0.3">
      <c r="A2790" t="s">
        <v>2271</v>
      </c>
      <c r="B2790" t="s">
        <v>2249</v>
      </c>
    </row>
    <row r="2791" spans="1:2" x14ac:dyDescent="0.3">
      <c r="A2791" t="s">
        <v>2272</v>
      </c>
      <c r="B2791" t="s">
        <v>2249</v>
      </c>
    </row>
    <row r="2792" spans="1:2" x14ac:dyDescent="0.3">
      <c r="A2792" t="s">
        <v>1115</v>
      </c>
      <c r="B2792" t="s">
        <v>2249</v>
      </c>
    </row>
    <row r="2793" spans="1:2" x14ac:dyDescent="0.3">
      <c r="A2793" t="s">
        <v>2273</v>
      </c>
      <c r="B2793" t="s">
        <v>2249</v>
      </c>
    </row>
    <row r="2794" spans="1:2" x14ac:dyDescent="0.3">
      <c r="A2794" t="s">
        <v>2274</v>
      </c>
      <c r="B2794" t="s">
        <v>2249</v>
      </c>
    </row>
    <row r="2795" spans="1:2" x14ac:dyDescent="0.3">
      <c r="B2795" t="s">
        <v>2249</v>
      </c>
    </row>
    <row r="2796" spans="1:2" x14ac:dyDescent="0.3">
      <c r="A2796" t="s">
        <v>2275</v>
      </c>
      <c r="B2796" t="s">
        <v>2249</v>
      </c>
    </row>
    <row r="2797" spans="1:2" x14ac:dyDescent="0.3">
      <c r="B2797" t="s">
        <v>72</v>
      </c>
    </row>
    <row r="2798" spans="1:2" x14ac:dyDescent="0.3">
      <c r="A2798" t="s">
        <v>2276</v>
      </c>
      <c r="B2798" t="s">
        <v>2249</v>
      </c>
    </row>
    <row r="2799" spans="1:2" x14ac:dyDescent="0.3">
      <c r="A2799" t="s">
        <v>2277</v>
      </c>
      <c r="B2799" t="s">
        <v>2249</v>
      </c>
    </row>
    <row r="2800" spans="1:2" x14ac:dyDescent="0.3">
      <c r="B2800" t="s">
        <v>2278</v>
      </c>
    </row>
    <row r="2801" spans="1:2" x14ac:dyDescent="0.3">
      <c r="A2801" t="s">
        <v>2279</v>
      </c>
      <c r="B2801" t="s">
        <v>2278</v>
      </c>
    </row>
    <row r="2802" spans="1:2" x14ac:dyDescent="0.3">
      <c r="A2802" t="s">
        <v>2280</v>
      </c>
      <c r="B2802" t="s">
        <v>2281</v>
      </c>
    </row>
    <row r="2803" spans="1:2" x14ac:dyDescent="0.3">
      <c r="A2803" t="s">
        <v>2282</v>
      </c>
      <c r="B2803" t="s">
        <v>2283</v>
      </c>
    </row>
    <row r="2804" spans="1:2" x14ac:dyDescent="0.3">
      <c r="A2804" t="s">
        <v>2284</v>
      </c>
      <c r="B2804" t="s">
        <v>2285</v>
      </c>
    </row>
    <row r="2805" spans="1:2" x14ac:dyDescent="0.3">
      <c r="A2805" t="s">
        <v>1527</v>
      </c>
      <c r="B2805" t="s">
        <v>2285</v>
      </c>
    </row>
    <row r="2806" spans="1:2" x14ac:dyDescent="0.3">
      <c r="A2806" t="s">
        <v>2286</v>
      </c>
      <c r="B2806" t="s">
        <v>2287</v>
      </c>
    </row>
    <row r="2807" spans="1:2" x14ac:dyDescent="0.3">
      <c r="A2807" t="s">
        <v>2288</v>
      </c>
      <c r="B2807" t="s">
        <v>2289</v>
      </c>
    </row>
    <row r="2808" spans="1:2" x14ac:dyDescent="0.3">
      <c r="A2808" t="s">
        <v>2290</v>
      </c>
      <c r="B2808" t="s">
        <v>2289</v>
      </c>
    </row>
    <row r="2809" spans="1:2" x14ac:dyDescent="0.3">
      <c r="A2809" t="s">
        <v>2291</v>
      </c>
      <c r="B2809" t="s">
        <v>2292</v>
      </c>
    </row>
    <row r="2810" spans="1:2" x14ac:dyDescent="0.3">
      <c r="A2810" t="s">
        <v>2293</v>
      </c>
      <c r="B2810" t="s">
        <v>2294</v>
      </c>
    </row>
    <row r="2811" spans="1:2" x14ac:dyDescent="0.3">
      <c r="A2811" t="s">
        <v>2295</v>
      </c>
      <c r="B2811" t="s">
        <v>2294</v>
      </c>
    </row>
    <row r="2812" spans="1:2" x14ac:dyDescent="0.3">
      <c r="A2812" t="s">
        <v>2296</v>
      </c>
      <c r="B2812" t="s">
        <v>167</v>
      </c>
    </row>
    <row r="2813" spans="1:2" x14ac:dyDescent="0.3">
      <c r="A2813" t="s">
        <v>2297</v>
      </c>
      <c r="B2813" t="s">
        <v>167</v>
      </c>
    </row>
    <row r="2814" spans="1:2" x14ac:dyDescent="0.3">
      <c r="A2814" t="s">
        <v>2298</v>
      </c>
      <c r="B2814" t="s">
        <v>167</v>
      </c>
    </row>
    <row r="2815" spans="1:2" x14ac:dyDescent="0.3">
      <c r="A2815" t="s">
        <v>2299</v>
      </c>
      <c r="B2815" t="s">
        <v>167</v>
      </c>
    </row>
    <row r="2816" spans="1:2" x14ac:dyDescent="0.3">
      <c r="A2816" t="s">
        <v>2300</v>
      </c>
      <c r="B2816" t="s">
        <v>167</v>
      </c>
    </row>
    <row r="2817" spans="1:2" x14ac:dyDescent="0.3">
      <c r="A2817" t="s">
        <v>2301</v>
      </c>
      <c r="B2817" t="s">
        <v>167</v>
      </c>
    </row>
    <row r="2818" spans="1:2" x14ac:dyDescent="0.3">
      <c r="A2818" t="s">
        <v>2302</v>
      </c>
      <c r="B2818" t="s">
        <v>2303</v>
      </c>
    </row>
    <row r="2819" spans="1:2" x14ac:dyDescent="0.3">
      <c r="B2819" t="s">
        <v>72</v>
      </c>
    </row>
    <row r="2820" spans="1:2" x14ac:dyDescent="0.3">
      <c r="A2820" t="s">
        <v>2304</v>
      </c>
      <c r="B2820" t="s">
        <v>1171</v>
      </c>
    </row>
    <row r="2821" spans="1:2" x14ac:dyDescent="0.3">
      <c r="A2821" t="s">
        <v>2305</v>
      </c>
      <c r="B2821" t="s">
        <v>1171</v>
      </c>
    </row>
    <row r="2822" spans="1:2" x14ac:dyDescent="0.3">
      <c r="A2822" t="s">
        <v>2306</v>
      </c>
      <c r="B2822" t="s">
        <v>2307</v>
      </c>
    </row>
    <row r="2823" spans="1:2" x14ac:dyDescent="0.3">
      <c r="A2823" t="s">
        <v>2308</v>
      </c>
      <c r="B2823" t="s">
        <v>2309</v>
      </c>
    </row>
    <row r="2824" spans="1:2" x14ac:dyDescent="0.3">
      <c r="A2824" t="s">
        <v>2310</v>
      </c>
      <c r="B2824" t="s">
        <v>2309</v>
      </c>
    </row>
    <row r="2825" spans="1:2" x14ac:dyDescent="0.3">
      <c r="A2825" t="s">
        <v>2311</v>
      </c>
      <c r="B2825" t="s">
        <v>2309</v>
      </c>
    </row>
    <row r="2826" spans="1:2" x14ac:dyDescent="0.3">
      <c r="A2826" t="s">
        <v>2312</v>
      </c>
      <c r="B2826" t="s">
        <v>2309</v>
      </c>
    </row>
    <row r="2827" spans="1:2" x14ac:dyDescent="0.3">
      <c r="A2827" t="s">
        <v>2313</v>
      </c>
      <c r="B2827" t="s">
        <v>2314</v>
      </c>
    </row>
    <row r="2828" spans="1:2" x14ac:dyDescent="0.3">
      <c r="A2828" t="s">
        <v>2315</v>
      </c>
      <c r="B2828" t="s">
        <v>2316</v>
      </c>
    </row>
    <row r="2829" spans="1:2" x14ac:dyDescent="0.3">
      <c r="A2829" t="s">
        <v>2317</v>
      </c>
      <c r="B2829" t="s">
        <v>2316</v>
      </c>
    </row>
    <row r="2830" spans="1:2" x14ac:dyDescent="0.3">
      <c r="A2830" t="s">
        <v>2318</v>
      </c>
      <c r="B2830" t="s">
        <v>2294</v>
      </c>
    </row>
    <row r="2831" spans="1:2" x14ac:dyDescent="0.3">
      <c r="A2831" t="s">
        <v>2319</v>
      </c>
      <c r="B2831" t="s">
        <v>1</v>
      </c>
    </row>
    <row r="2832" spans="1:2" x14ac:dyDescent="0.3">
      <c r="A2832" t="s">
        <v>2320</v>
      </c>
      <c r="B2832" t="s">
        <v>896</v>
      </c>
    </row>
    <row r="2833" spans="1:2" x14ac:dyDescent="0.3">
      <c r="A2833" t="s">
        <v>2321</v>
      </c>
      <c r="B2833" t="s">
        <v>896</v>
      </c>
    </row>
    <row r="2834" spans="1:2" x14ac:dyDescent="0.3">
      <c r="A2834" t="s">
        <v>2322</v>
      </c>
      <c r="B2834" t="s">
        <v>896</v>
      </c>
    </row>
    <row r="2835" spans="1:2" x14ac:dyDescent="0.3">
      <c r="A2835" t="s">
        <v>2323</v>
      </c>
      <c r="B2835" t="s">
        <v>2324</v>
      </c>
    </row>
    <row r="2836" spans="1:2" x14ac:dyDescent="0.3">
      <c r="B2836" t="s">
        <v>2324</v>
      </c>
    </row>
    <row r="2837" spans="1:2" x14ac:dyDescent="0.3">
      <c r="A2837" t="s">
        <v>2325</v>
      </c>
      <c r="B2837" t="s">
        <v>2324</v>
      </c>
    </row>
    <row r="2838" spans="1:2" x14ac:dyDescent="0.3">
      <c r="A2838" t="s">
        <v>2326</v>
      </c>
      <c r="B2838" t="s">
        <v>2324</v>
      </c>
    </row>
    <row r="2839" spans="1:2" x14ac:dyDescent="0.3">
      <c r="A2839" t="s">
        <v>2327</v>
      </c>
      <c r="B2839" t="s">
        <v>2328</v>
      </c>
    </row>
    <row r="2840" spans="1:2" x14ac:dyDescent="0.3">
      <c r="A2840" t="s">
        <v>2329</v>
      </c>
      <c r="B2840" t="s">
        <v>2328</v>
      </c>
    </row>
    <row r="2841" spans="1:2" x14ac:dyDescent="0.3">
      <c r="A2841" t="s">
        <v>2330</v>
      </c>
      <c r="B2841" t="s">
        <v>2324</v>
      </c>
    </row>
    <row r="2842" spans="1:2" x14ac:dyDescent="0.3">
      <c r="A2842" t="s">
        <v>2331</v>
      </c>
      <c r="B2842" t="s">
        <v>1</v>
      </c>
    </row>
    <row r="2843" spans="1:2" x14ac:dyDescent="0.3">
      <c r="A2843" t="s">
        <v>2332</v>
      </c>
      <c r="B2843" t="s">
        <v>2324</v>
      </c>
    </row>
    <row r="2844" spans="1:2" x14ac:dyDescent="0.3">
      <c r="A2844" t="s">
        <v>2333</v>
      </c>
      <c r="B2844" t="s">
        <v>2324</v>
      </c>
    </row>
    <row r="2845" spans="1:2" x14ac:dyDescent="0.3">
      <c r="A2845" t="s">
        <v>2334</v>
      </c>
      <c r="B2845" t="s">
        <v>2324</v>
      </c>
    </row>
    <row r="2846" spans="1:2" x14ac:dyDescent="0.3">
      <c r="B2846" t="s">
        <v>2324</v>
      </c>
    </row>
    <row r="2847" spans="1:2" x14ac:dyDescent="0.3">
      <c r="A2847" t="s">
        <v>2335</v>
      </c>
      <c r="B2847" t="s">
        <v>2324</v>
      </c>
    </row>
    <row r="2848" spans="1:2" x14ac:dyDescent="0.3">
      <c r="A2848" t="s">
        <v>2336</v>
      </c>
      <c r="B2848" t="s">
        <v>192</v>
      </c>
    </row>
    <row r="2849" spans="1:2" x14ac:dyDescent="0.3">
      <c r="A2849" t="s">
        <v>2337</v>
      </c>
      <c r="B2849" t="s">
        <v>166</v>
      </c>
    </row>
    <row r="2850" spans="1:2" x14ac:dyDescent="0.3">
      <c r="A2850" t="s">
        <v>2338</v>
      </c>
      <c r="B2850" t="s">
        <v>166</v>
      </c>
    </row>
    <row r="2851" spans="1:2" x14ac:dyDescent="0.3">
      <c r="A2851" t="s">
        <v>2339</v>
      </c>
      <c r="B2851" t="s">
        <v>166</v>
      </c>
    </row>
    <row r="2852" spans="1:2" x14ac:dyDescent="0.3">
      <c r="A2852" t="s">
        <v>2340</v>
      </c>
      <c r="B2852" t="s">
        <v>166</v>
      </c>
    </row>
    <row r="2853" spans="1:2" x14ac:dyDescent="0.3">
      <c r="A2853" t="s">
        <v>2341</v>
      </c>
      <c r="B2853" t="s">
        <v>1</v>
      </c>
    </row>
    <row r="2854" spans="1:2" x14ac:dyDescent="0.3">
      <c r="A2854" t="s">
        <v>2342</v>
      </c>
      <c r="B2854" t="s">
        <v>166</v>
      </c>
    </row>
    <row r="2855" spans="1:2" x14ac:dyDescent="0.3">
      <c r="A2855" t="s">
        <v>2343</v>
      </c>
      <c r="B2855" t="s">
        <v>166</v>
      </c>
    </row>
    <row r="2856" spans="1:2" x14ac:dyDescent="0.3">
      <c r="A2856" t="s">
        <v>2344</v>
      </c>
      <c r="B2856" t="s">
        <v>166</v>
      </c>
    </row>
    <row r="2857" spans="1:2" x14ac:dyDescent="0.3">
      <c r="A2857" t="s">
        <v>2345</v>
      </c>
      <c r="B2857" t="s">
        <v>166</v>
      </c>
    </row>
    <row r="2858" spans="1:2" x14ac:dyDescent="0.3">
      <c r="A2858" t="s">
        <v>2346</v>
      </c>
      <c r="B2858" t="s">
        <v>166</v>
      </c>
    </row>
    <row r="2859" spans="1:2" x14ac:dyDescent="0.3">
      <c r="A2859" t="s">
        <v>2347</v>
      </c>
      <c r="B2859" t="s">
        <v>166</v>
      </c>
    </row>
    <row r="2860" spans="1:2" x14ac:dyDescent="0.3">
      <c r="A2860" t="s">
        <v>2348</v>
      </c>
      <c r="B2860" t="s">
        <v>166</v>
      </c>
    </row>
    <row r="2861" spans="1:2" x14ac:dyDescent="0.3">
      <c r="A2861" t="s">
        <v>2349</v>
      </c>
      <c r="B2861" t="s">
        <v>166</v>
      </c>
    </row>
    <row r="2862" spans="1:2" x14ac:dyDescent="0.3">
      <c r="A2862" t="s">
        <v>2350</v>
      </c>
      <c r="B2862" t="s">
        <v>166</v>
      </c>
    </row>
    <row r="2863" spans="1:2" x14ac:dyDescent="0.3">
      <c r="A2863" t="s">
        <v>2351</v>
      </c>
      <c r="B2863" t="s">
        <v>166</v>
      </c>
    </row>
    <row r="2864" spans="1:2" x14ac:dyDescent="0.3">
      <c r="A2864" t="s">
        <v>2352</v>
      </c>
      <c r="B2864" t="s">
        <v>2353</v>
      </c>
    </row>
    <row r="2865" spans="1:2" x14ac:dyDescent="0.3">
      <c r="A2865" t="s">
        <v>2354</v>
      </c>
      <c r="B2865" t="s">
        <v>2353</v>
      </c>
    </row>
    <row r="2866" spans="1:2" x14ac:dyDescent="0.3">
      <c r="A2866" t="s">
        <v>163</v>
      </c>
      <c r="B2866" t="s">
        <v>2353</v>
      </c>
    </row>
    <row r="2867" spans="1:2" x14ac:dyDescent="0.3">
      <c r="A2867" t="s">
        <v>2355</v>
      </c>
      <c r="B2867" t="s">
        <v>2353</v>
      </c>
    </row>
    <row r="2868" spans="1:2" x14ac:dyDescent="0.3">
      <c r="A2868" t="s">
        <v>2356</v>
      </c>
      <c r="B2868" t="s">
        <v>2353</v>
      </c>
    </row>
    <row r="2869" spans="1:2" x14ac:dyDescent="0.3">
      <c r="A2869" t="s">
        <v>2357</v>
      </c>
      <c r="B2869" t="s">
        <v>2353</v>
      </c>
    </row>
    <row r="2870" spans="1:2" x14ac:dyDescent="0.3">
      <c r="A2870" t="s">
        <v>2358</v>
      </c>
      <c r="B2870" t="s">
        <v>1</v>
      </c>
    </row>
    <row r="2871" spans="1:2" x14ac:dyDescent="0.3">
      <c r="A2871" t="s">
        <v>2359</v>
      </c>
      <c r="B2871" t="s">
        <v>2353</v>
      </c>
    </row>
    <row r="2872" spans="1:2" x14ac:dyDescent="0.3">
      <c r="A2872" t="s">
        <v>2360</v>
      </c>
      <c r="B2872" t="s">
        <v>166</v>
      </c>
    </row>
    <row r="2873" spans="1:2" x14ac:dyDescent="0.3">
      <c r="A2873" t="s">
        <v>2361</v>
      </c>
      <c r="B2873" t="s">
        <v>166</v>
      </c>
    </row>
    <row r="2874" spans="1:2" x14ac:dyDescent="0.3">
      <c r="A2874" t="s">
        <v>2362</v>
      </c>
      <c r="B2874" t="s">
        <v>2363</v>
      </c>
    </row>
    <row r="2875" spans="1:2" x14ac:dyDescent="0.3">
      <c r="A2875" t="s">
        <v>2364</v>
      </c>
      <c r="B2875" t="s">
        <v>2363</v>
      </c>
    </row>
    <row r="2876" spans="1:2" x14ac:dyDescent="0.3">
      <c r="A2876" t="s">
        <v>2365</v>
      </c>
      <c r="B2876" t="s">
        <v>166</v>
      </c>
    </row>
    <row r="2877" spans="1:2" x14ac:dyDescent="0.3">
      <c r="A2877" t="s">
        <v>2366</v>
      </c>
      <c r="B2877" t="s">
        <v>2363</v>
      </c>
    </row>
    <row r="2878" spans="1:2" x14ac:dyDescent="0.3">
      <c r="A2878" t="s">
        <v>2367</v>
      </c>
      <c r="B2878" t="s">
        <v>2363</v>
      </c>
    </row>
    <row r="2879" spans="1:2" x14ac:dyDescent="0.3">
      <c r="A2879" t="s">
        <v>2368</v>
      </c>
      <c r="B2879" t="s">
        <v>166</v>
      </c>
    </row>
    <row r="2880" spans="1:2" x14ac:dyDescent="0.3">
      <c r="A2880" t="s">
        <v>2369</v>
      </c>
      <c r="B2880" t="s">
        <v>166</v>
      </c>
    </row>
    <row r="2881" spans="1:2" x14ac:dyDescent="0.3">
      <c r="A2881" t="s">
        <v>2370</v>
      </c>
      <c r="B2881" t="s">
        <v>166</v>
      </c>
    </row>
    <row r="2882" spans="1:2" x14ac:dyDescent="0.3">
      <c r="A2882" t="s">
        <v>2371</v>
      </c>
      <c r="B2882" t="s">
        <v>166</v>
      </c>
    </row>
    <row r="2883" spans="1:2" x14ac:dyDescent="0.3">
      <c r="A2883" t="s">
        <v>2372</v>
      </c>
      <c r="B2883" t="s">
        <v>166</v>
      </c>
    </row>
    <row r="2884" spans="1:2" x14ac:dyDescent="0.3">
      <c r="A2884" t="s">
        <v>2373</v>
      </c>
      <c r="B2884" t="s">
        <v>166</v>
      </c>
    </row>
    <row r="2885" spans="1:2" x14ac:dyDescent="0.3">
      <c r="A2885" t="s">
        <v>2374</v>
      </c>
      <c r="B2885" t="s">
        <v>166</v>
      </c>
    </row>
    <row r="2886" spans="1:2" x14ac:dyDescent="0.3">
      <c r="A2886" t="s">
        <v>2375</v>
      </c>
      <c r="B2886" t="s">
        <v>166</v>
      </c>
    </row>
    <row r="2887" spans="1:2" x14ac:dyDescent="0.3">
      <c r="A2887" t="s">
        <v>2376</v>
      </c>
      <c r="B2887" t="s">
        <v>166</v>
      </c>
    </row>
    <row r="2888" spans="1:2" x14ac:dyDescent="0.3">
      <c r="A2888" t="s">
        <v>2377</v>
      </c>
      <c r="B2888" t="s">
        <v>166</v>
      </c>
    </row>
    <row r="2889" spans="1:2" x14ac:dyDescent="0.3">
      <c r="A2889" t="s">
        <v>2378</v>
      </c>
      <c r="B2889" t="s">
        <v>166</v>
      </c>
    </row>
    <row r="2890" spans="1:2" x14ac:dyDescent="0.3">
      <c r="A2890" t="s">
        <v>2379</v>
      </c>
      <c r="B2890" t="s">
        <v>166</v>
      </c>
    </row>
    <row r="2891" spans="1:2" x14ac:dyDescent="0.3">
      <c r="A2891" t="s">
        <v>2380</v>
      </c>
      <c r="B2891" t="s">
        <v>166</v>
      </c>
    </row>
    <row r="2892" spans="1:2" x14ac:dyDescent="0.3">
      <c r="A2892" t="s">
        <v>2381</v>
      </c>
      <c r="B2892" t="s">
        <v>166</v>
      </c>
    </row>
    <row r="2893" spans="1:2" x14ac:dyDescent="0.3">
      <c r="A2893" t="s">
        <v>2382</v>
      </c>
      <c r="B2893" t="s">
        <v>1728</v>
      </c>
    </row>
    <row r="2894" spans="1:2" x14ac:dyDescent="0.3">
      <c r="A2894" t="s">
        <v>2383</v>
      </c>
      <c r="B2894" t="s">
        <v>166</v>
      </c>
    </row>
    <row r="2895" spans="1:2" x14ac:dyDescent="0.3">
      <c r="A2895" t="s">
        <v>2384</v>
      </c>
      <c r="B2895" t="s">
        <v>166</v>
      </c>
    </row>
    <row r="2896" spans="1:2" x14ac:dyDescent="0.3">
      <c r="A2896" t="s">
        <v>2385</v>
      </c>
      <c r="B2896" t="s">
        <v>166</v>
      </c>
    </row>
    <row r="2897" spans="1:2" x14ac:dyDescent="0.3">
      <c r="A2897" t="s">
        <v>2386</v>
      </c>
      <c r="B2897" t="s">
        <v>166</v>
      </c>
    </row>
    <row r="2898" spans="1:2" x14ac:dyDescent="0.3">
      <c r="A2898" t="s">
        <v>2387</v>
      </c>
      <c r="B2898" t="s">
        <v>1978</v>
      </c>
    </row>
    <row r="2899" spans="1:2" x14ac:dyDescent="0.3">
      <c r="A2899" t="s">
        <v>2388</v>
      </c>
      <c r="B2899" t="s">
        <v>1978</v>
      </c>
    </row>
    <row r="2900" spans="1:2" x14ac:dyDescent="0.3">
      <c r="B2900" t="s">
        <v>1978</v>
      </c>
    </row>
    <row r="2901" spans="1:2" x14ac:dyDescent="0.3">
      <c r="A2901" t="s">
        <v>2389</v>
      </c>
      <c r="B2901" t="s">
        <v>2390</v>
      </c>
    </row>
    <row r="2902" spans="1:2" x14ac:dyDescent="0.3">
      <c r="A2902" t="s">
        <v>2391</v>
      </c>
      <c r="B2902" t="s">
        <v>202</v>
      </c>
    </row>
    <row r="2903" spans="1:2" x14ac:dyDescent="0.3">
      <c r="A2903" t="s">
        <v>2392</v>
      </c>
      <c r="B2903" t="s">
        <v>202</v>
      </c>
    </row>
    <row r="2904" spans="1:2" x14ac:dyDescent="0.3">
      <c r="A2904" t="s">
        <v>2393</v>
      </c>
      <c r="B2904" t="s">
        <v>223</v>
      </c>
    </row>
    <row r="2905" spans="1:2" x14ac:dyDescent="0.3">
      <c r="A2905" t="s">
        <v>2394</v>
      </c>
      <c r="B2905" t="s">
        <v>202</v>
      </c>
    </row>
    <row r="2906" spans="1:2" x14ac:dyDescent="0.3">
      <c r="A2906" t="s">
        <v>2395</v>
      </c>
      <c r="B2906" t="s">
        <v>166</v>
      </c>
    </row>
    <row r="2907" spans="1:2" x14ac:dyDescent="0.3">
      <c r="A2907" t="s">
        <v>207</v>
      </c>
      <c r="B2907" t="s">
        <v>166</v>
      </c>
    </row>
    <row r="2908" spans="1:2" x14ac:dyDescent="0.3">
      <c r="A2908" t="s">
        <v>2396</v>
      </c>
      <c r="B2908" t="s">
        <v>166</v>
      </c>
    </row>
    <row r="2909" spans="1:2" x14ac:dyDescent="0.3">
      <c r="A2909" t="s">
        <v>2397</v>
      </c>
      <c r="B2909" t="s">
        <v>166</v>
      </c>
    </row>
    <row r="2910" spans="1:2" x14ac:dyDescent="0.3">
      <c r="A2910" t="s">
        <v>2398</v>
      </c>
      <c r="B2910" t="s">
        <v>166</v>
      </c>
    </row>
    <row r="2911" spans="1:2" x14ac:dyDescent="0.3">
      <c r="A2911" t="s">
        <v>2399</v>
      </c>
      <c r="B2911" t="s">
        <v>166</v>
      </c>
    </row>
    <row r="2912" spans="1:2" x14ac:dyDescent="0.3">
      <c r="A2912" t="s">
        <v>2400</v>
      </c>
      <c r="B2912" t="s">
        <v>166</v>
      </c>
    </row>
    <row r="2913" spans="1:2" x14ac:dyDescent="0.3">
      <c r="A2913" t="s">
        <v>2401</v>
      </c>
      <c r="B2913" t="s">
        <v>166</v>
      </c>
    </row>
    <row r="2914" spans="1:2" x14ac:dyDescent="0.3">
      <c r="A2914" t="s">
        <v>2402</v>
      </c>
      <c r="B2914" t="s">
        <v>166</v>
      </c>
    </row>
    <row r="2915" spans="1:2" x14ac:dyDescent="0.3">
      <c r="A2915" t="s">
        <v>2403</v>
      </c>
      <c r="B2915" t="s">
        <v>166</v>
      </c>
    </row>
    <row r="2916" spans="1:2" x14ac:dyDescent="0.3">
      <c r="A2916" t="s">
        <v>2404</v>
      </c>
      <c r="B2916" t="s">
        <v>910</v>
      </c>
    </row>
    <row r="2917" spans="1:2" x14ac:dyDescent="0.3">
      <c r="A2917" t="s">
        <v>2405</v>
      </c>
      <c r="B2917" t="s">
        <v>910</v>
      </c>
    </row>
    <row r="2918" spans="1:2" x14ac:dyDescent="0.3">
      <c r="A2918" t="s">
        <v>2406</v>
      </c>
      <c r="B2918" t="s">
        <v>910</v>
      </c>
    </row>
    <row r="2919" spans="1:2" x14ac:dyDescent="0.3">
      <c r="A2919" t="s">
        <v>218</v>
      </c>
      <c r="B2919" t="s">
        <v>910</v>
      </c>
    </row>
    <row r="2920" spans="1:2" x14ac:dyDescent="0.3">
      <c r="A2920" t="s">
        <v>2407</v>
      </c>
      <c r="B2920" t="s">
        <v>910</v>
      </c>
    </row>
    <row r="2921" spans="1:2" x14ac:dyDescent="0.3">
      <c r="A2921" t="s">
        <v>2408</v>
      </c>
      <c r="B2921" t="s">
        <v>910</v>
      </c>
    </row>
    <row r="2922" spans="1:2" x14ac:dyDescent="0.3">
      <c r="A2922" t="s">
        <v>2409</v>
      </c>
      <c r="B2922" t="s">
        <v>910</v>
      </c>
    </row>
    <row r="2923" spans="1:2" x14ac:dyDescent="0.3">
      <c r="A2923" t="s">
        <v>2410</v>
      </c>
      <c r="B2923" t="s">
        <v>910</v>
      </c>
    </row>
    <row r="2924" spans="1:2" x14ac:dyDescent="0.3">
      <c r="A2924" t="s">
        <v>2411</v>
      </c>
      <c r="B2924" t="s">
        <v>910</v>
      </c>
    </row>
    <row r="2925" spans="1:2" x14ac:dyDescent="0.3">
      <c r="A2925" t="s">
        <v>2412</v>
      </c>
      <c r="B2925" t="s">
        <v>910</v>
      </c>
    </row>
    <row r="2926" spans="1:2" x14ac:dyDescent="0.3">
      <c r="A2926" t="s">
        <v>2413</v>
      </c>
      <c r="B2926" t="s">
        <v>910</v>
      </c>
    </row>
    <row r="2927" spans="1:2" x14ac:dyDescent="0.3">
      <c r="B2927" t="s">
        <v>910</v>
      </c>
    </row>
    <row r="2928" spans="1:2" x14ac:dyDescent="0.3">
      <c r="B2928" t="s">
        <v>910</v>
      </c>
    </row>
    <row r="2929" spans="1:2" x14ac:dyDescent="0.3">
      <c r="A2929" t="s">
        <v>2414</v>
      </c>
      <c r="B2929" t="s">
        <v>910</v>
      </c>
    </row>
    <row r="2930" spans="1:2" x14ac:dyDescent="0.3">
      <c r="A2930" t="s">
        <v>2415</v>
      </c>
      <c r="B2930" t="s">
        <v>910</v>
      </c>
    </row>
    <row r="2931" spans="1:2" x14ac:dyDescent="0.3">
      <c r="A2931" t="s">
        <v>2416</v>
      </c>
      <c r="B2931" t="s">
        <v>910</v>
      </c>
    </row>
    <row r="2932" spans="1:2" x14ac:dyDescent="0.3">
      <c r="A2932" t="s">
        <v>2417</v>
      </c>
      <c r="B2932" t="s">
        <v>910</v>
      </c>
    </row>
    <row r="2933" spans="1:2" x14ac:dyDescent="0.3">
      <c r="A2933" t="s">
        <v>2418</v>
      </c>
      <c r="B2933" t="s">
        <v>910</v>
      </c>
    </row>
    <row r="2934" spans="1:2" x14ac:dyDescent="0.3">
      <c r="A2934" t="s">
        <v>2419</v>
      </c>
      <c r="B2934" t="s">
        <v>910</v>
      </c>
    </row>
    <row r="2935" spans="1:2" x14ac:dyDescent="0.3">
      <c r="A2935" t="s">
        <v>2420</v>
      </c>
      <c r="B2935" t="s">
        <v>910</v>
      </c>
    </row>
    <row r="2936" spans="1:2" x14ac:dyDescent="0.3">
      <c r="A2936" t="s">
        <v>2421</v>
      </c>
      <c r="B2936" t="s">
        <v>910</v>
      </c>
    </row>
    <row r="2937" spans="1:2" x14ac:dyDescent="0.3">
      <c r="A2937" t="s">
        <v>2422</v>
      </c>
      <c r="B2937" t="s">
        <v>910</v>
      </c>
    </row>
    <row r="2938" spans="1:2" x14ac:dyDescent="0.3">
      <c r="A2938" t="s">
        <v>2423</v>
      </c>
      <c r="B2938" t="s">
        <v>910</v>
      </c>
    </row>
    <row r="2939" spans="1:2" x14ac:dyDescent="0.3">
      <c r="A2939" t="s">
        <v>2424</v>
      </c>
      <c r="B2939" t="s">
        <v>910</v>
      </c>
    </row>
    <row r="2940" spans="1:2" x14ac:dyDescent="0.3">
      <c r="A2940" t="s">
        <v>2425</v>
      </c>
      <c r="B2940" t="s">
        <v>910</v>
      </c>
    </row>
    <row r="2941" spans="1:2" x14ac:dyDescent="0.3">
      <c r="A2941" t="s">
        <v>2426</v>
      </c>
      <c r="B2941" t="s">
        <v>910</v>
      </c>
    </row>
    <row r="2942" spans="1:2" x14ac:dyDescent="0.3">
      <c r="A2942" t="s">
        <v>2427</v>
      </c>
      <c r="B2942" t="s">
        <v>910</v>
      </c>
    </row>
    <row r="2943" spans="1:2" x14ac:dyDescent="0.3">
      <c r="A2943" t="s">
        <v>2428</v>
      </c>
      <c r="B2943" t="s">
        <v>910</v>
      </c>
    </row>
    <row r="2944" spans="1:2" x14ac:dyDescent="0.3">
      <c r="A2944" t="s">
        <v>2429</v>
      </c>
      <c r="B2944" t="s">
        <v>910</v>
      </c>
    </row>
    <row r="2945" spans="1:2" x14ac:dyDescent="0.3">
      <c r="A2945" t="s">
        <v>2430</v>
      </c>
      <c r="B2945" t="s">
        <v>910</v>
      </c>
    </row>
    <row r="2946" spans="1:2" x14ac:dyDescent="0.3">
      <c r="A2946" t="s">
        <v>224</v>
      </c>
      <c r="B2946" t="s">
        <v>2431</v>
      </c>
    </row>
    <row r="2947" spans="1:2" x14ac:dyDescent="0.3">
      <c r="B2947" t="s">
        <v>2431</v>
      </c>
    </row>
    <row r="2948" spans="1:2" x14ac:dyDescent="0.3">
      <c r="B2948" t="s">
        <v>2431</v>
      </c>
    </row>
    <row r="2949" spans="1:2" x14ac:dyDescent="0.3">
      <c r="A2949" t="s">
        <v>2432</v>
      </c>
      <c r="B2949" t="s">
        <v>2431</v>
      </c>
    </row>
    <row r="2950" spans="1:2" x14ac:dyDescent="0.3">
      <c r="A2950" t="s">
        <v>2433</v>
      </c>
      <c r="B2950" t="s">
        <v>2431</v>
      </c>
    </row>
    <row r="2951" spans="1:2" x14ac:dyDescent="0.3">
      <c r="A2951" t="s">
        <v>2434</v>
      </c>
      <c r="B2951" t="s">
        <v>2431</v>
      </c>
    </row>
    <row r="2952" spans="1:2" x14ac:dyDescent="0.3">
      <c r="A2952" t="s">
        <v>2435</v>
      </c>
      <c r="B2952" t="s">
        <v>2431</v>
      </c>
    </row>
    <row r="2953" spans="1:2" x14ac:dyDescent="0.3">
      <c r="A2953" t="s">
        <v>2436</v>
      </c>
      <c r="B2953" t="s">
        <v>168</v>
      </c>
    </row>
    <row r="2954" spans="1:2" x14ac:dyDescent="0.3">
      <c r="B2954" t="s">
        <v>2437</v>
      </c>
    </row>
    <row r="2955" spans="1:2" x14ac:dyDescent="0.3">
      <c r="A2955" t="s">
        <v>2438</v>
      </c>
      <c r="B2955" t="s">
        <v>2437</v>
      </c>
    </row>
    <row r="2956" spans="1:2" x14ac:dyDescent="0.3">
      <c r="A2956" t="s">
        <v>2439</v>
      </c>
      <c r="B2956" t="s">
        <v>2437</v>
      </c>
    </row>
    <row r="2957" spans="1:2" x14ac:dyDescent="0.3">
      <c r="B2957" t="s">
        <v>2437</v>
      </c>
    </row>
    <row r="2958" spans="1:2" x14ac:dyDescent="0.3">
      <c r="B2958" t="s">
        <v>910</v>
      </c>
    </row>
    <row r="2959" spans="1:2" x14ac:dyDescent="0.3">
      <c r="A2959" t="s">
        <v>2440</v>
      </c>
      <c r="B2959" t="s">
        <v>910</v>
      </c>
    </row>
    <row r="2960" spans="1:2" x14ac:dyDescent="0.3">
      <c r="A2960" t="s">
        <v>2441</v>
      </c>
      <c r="B2960" t="s">
        <v>910</v>
      </c>
    </row>
    <row r="2961" spans="1:2" x14ac:dyDescent="0.3">
      <c r="A2961" t="s">
        <v>2442</v>
      </c>
      <c r="B2961" t="s">
        <v>910</v>
      </c>
    </row>
    <row r="2962" spans="1:2" x14ac:dyDescent="0.3">
      <c r="B2962" t="s">
        <v>910</v>
      </c>
    </row>
    <row r="2963" spans="1:2" x14ac:dyDescent="0.3">
      <c r="A2963" t="s">
        <v>2443</v>
      </c>
      <c r="B2963" t="s">
        <v>910</v>
      </c>
    </row>
    <row r="2964" spans="1:2" x14ac:dyDescent="0.3">
      <c r="A2964" t="s">
        <v>2444</v>
      </c>
      <c r="B2964" t="s">
        <v>910</v>
      </c>
    </row>
    <row r="2965" spans="1:2" x14ac:dyDescent="0.3">
      <c r="A2965" t="s">
        <v>2445</v>
      </c>
      <c r="B2965" t="s">
        <v>910</v>
      </c>
    </row>
    <row r="2966" spans="1:2" x14ac:dyDescent="0.3">
      <c r="A2966" t="s">
        <v>2446</v>
      </c>
      <c r="B2966" t="s">
        <v>910</v>
      </c>
    </row>
    <row r="2967" spans="1:2" x14ac:dyDescent="0.3">
      <c r="A2967" t="s">
        <v>2447</v>
      </c>
      <c r="B2967" t="s">
        <v>1</v>
      </c>
    </row>
    <row r="2968" spans="1:2" x14ac:dyDescent="0.3">
      <c r="B2968" t="s">
        <v>72</v>
      </c>
    </row>
    <row r="2969" spans="1:2" x14ac:dyDescent="0.3">
      <c r="A2969" t="s">
        <v>2448</v>
      </c>
      <c r="B2969" t="s">
        <v>910</v>
      </c>
    </row>
    <row r="2970" spans="1:2" x14ac:dyDescent="0.3">
      <c r="B2970" t="s">
        <v>910</v>
      </c>
    </row>
    <row r="2971" spans="1:2" x14ac:dyDescent="0.3">
      <c r="A2971" t="s">
        <v>2449</v>
      </c>
      <c r="B2971" t="s">
        <v>910</v>
      </c>
    </row>
    <row r="2972" spans="1:2" x14ac:dyDescent="0.3">
      <c r="B2972" t="s">
        <v>910</v>
      </c>
    </row>
    <row r="2973" spans="1:2" x14ac:dyDescent="0.3">
      <c r="A2973" t="s">
        <v>2450</v>
      </c>
      <c r="B2973" t="s">
        <v>910</v>
      </c>
    </row>
    <row r="2974" spans="1:2" x14ac:dyDescent="0.3">
      <c r="A2974" t="s">
        <v>2451</v>
      </c>
      <c r="B2974" t="s">
        <v>910</v>
      </c>
    </row>
    <row r="2975" spans="1:2" x14ac:dyDescent="0.3">
      <c r="A2975" t="s">
        <v>2452</v>
      </c>
      <c r="B2975" t="s">
        <v>910</v>
      </c>
    </row>
    <row r="2976" spans="1:2" x14ac:dyDescent="0.3">
      <c r="A2976" t="s">
        <v>2453</v>
      </c>
      <c r="B2976" t="s">
        <v>910</v>
      </c>
    </row>
    <row r="2977" spans="1:2" x14ac:dyDescent="0.3">
      <c r="A2977" t="s">
        <v>2454</v>
      </c>
      <c r="B2977" t="s">
        <v>910</v>
      </c>
    </row>
    <row r="2978" spans="1:2" x14ac:dyDescent="0.3">
      <c r="A2978" t="s">
        <v>2455</v>
      </c>
      <c r="B2978" t="s">
        <v>910</v>
      </c>
    </row>
    <row r="2979" spans="1:2" x14ac:dyDescent="0.3">
      <c r="B2979" t="s">
        <v>910</v>
      </c>
    </row>
    <row r="2980" spans="1:2" x14ac:dyDescent="0.3">
      <c r="B2980" t="s">
        <v>910</v>
      </c>
    </row>
    <row r="2981" spans="1:2" x14ac:dyDescent="0.3">
      <c r="B2981" t="s">
        <v>910</v>
      </c>
    </row>
    <row r="2982" spans="1:2" x14ac:dyDescent="0.3">
      <c r="A2982" t="s">
        <v>2456</v>
      </c>
      <c r="B2982" t="s">
        <v>910</v>
      </c>
    </row>
    <row r="2983" spans="1:2" x14ac:dyDescent="0.3">
      <c r="B2983" t="s">
        <v>910</v>
      </c>
    </row>
    <row r="2984" spans="1:2" x14ac:dyDescent="0.3">
      <c r="A2984" t="s">
        <v>2457</v>
      </c>
      <c r="B2984" t="s">
        <v>910</v>
      </c>
    </row>
    <row r="2985" spans="1:2" x14ac:dyDescent="0.3">
      <c r="A2985" t="s">
        <v>2458</v>
      </c>
      <c r="B2985" t="s">
        <v>910</v>
      </c>
    </row>
    <row r="2986" spans="1:2" x14ac:dyDescent="0.3">
      <c r="B2986" t="s">
        <v>910</v>
      </c>
    </row>
    <row r="2987" spans="1:2" x14ac:dyDescent="0.3">
      <c r="A2987" t="s">
        <v>2459</v>
      </c>
      <c r="B2987" t="s">
        <v>910</v>
      </c>
    </row>
    <row r="2988" spans="1:2" x14ac:dyDescent="0.3">
      <c r="B2988" t="s">
        <v>910</v>
      </c>
    </row>
    <row r="2989" spans="1:2" x14ac:dyDescent="0.3">
      <c r="A2989" t="s">
        <v>2460</v>
      </c>
      <c r="B2989" t="s">
        <v>2461</v>
      </c>
    </row>
    <row r="2990" spans="1:2" x14ac:dyDescent="0.3">
      <c r="A2990" t="s">
        <v>2462</v>
      </c>
      <c r="B2990" t="s">
        <v>2461</v>
      </c>
    </row>
    <row r="2991" spans="1:2" x14ac:dyDescent="0.3">
      <c r="A2991" t="s">
        <v>2463</v>
      </c>
      <c r="B2991" t="s">
        <v>2461</v>
      </c>
    </row>
    <row r="2992" spans="1:2" x14ac:dyDescent="0.3">
      <c r="A2992" t="s">
        <v>2464</v>
      </c>
      <c r="B2992" t="s">
        <v>2461</v>
      </c>
    </row>
    <row r="2993" spans="1:2" x14ac:dyDescent="0.3">
      <c r="A2993" t="s">
        <v>2465</v>
      </c>
      <c r="B2993" t="s">
        <v>2461</v>
      </c>
    </row>
    <row r="2994" spans="1:2" x14ac:dyDescent="0.3">
      <c r="A2994" t="s">
        <v>2466</v>
      </c>
      <c r="B2994" t="s">
        <v>2461</v>
      </c>
    </row>
    <row r="2995" spans="1:2" x14ac:dyDescent="0.3">
      <c r="A2995" t="s">
        <v>2467</v>
      </c>
      <c r="B2995" t="s">
        <v>2461</v>
      </c>
    </row>
    <row r="2996" spans="1:2" x14ac:dyDescent="0.3">
      <c r="B2996" t="s">
        <v>2461</v>
      </c>
    </row>
    <row r="2997" spans="1:2" x14ac:dyDescent="0.3">
      <c r="A2997" t="s">
        <v>2468</v>
      </c>
      <c r="B2997" t="s">
        <v>2461</v>
      </c>
    </row>
    <row r="2998" spans="1:2" x14ac:dyDescent="0.3">
      <c r="A2998" t="s">
        <v>2469</v>
      </c>
      <c r="B2998" t="s">
        <v>2469</v>
      </c>
    </row>
    <row r="2999" spans="1:2" x14ac:dyDescent="0.3">
      <c r="B2999" t="s">
        <v>2469</v>
      </c>
    </row>
    <row r="3000" spans="1:2" x14ac:dyDescent="0.3">
      <c r="A3000" t="s">
        <v>2470</v>
      </c>
      <c r="B3000" t="s">
        <v>910</v>
      </c>
    </row>
    <row r="3001" spans="1:2" x14ac:dyDescent="0.3">
      <c r="A3001" t="s">
        <v>2471</v>
      </c>
      <c r="B3001" t="s">
        <v>910</v>
      </c>
    </row>
    <row r="3002" spans="1:2" x14ac:dyDescent="0.3">
      <c r="A3002" t="s">
        <v>2472</v>
      </c>
      <c r="B3002" t="s">
        <v>910</v>
      </c>
    </row>
    <row r="3003" spans="1:2" x14ac:dyDescent="0.3">
      <c r="B3003" t="s">
        <v>910</v>
      </c>
    </row>
    <row r="3004" spans="1:2" x14ac:dyDescent="0.3">
      <c r="B3004" t="s">
        <v>910</v>
      </c>
    </row>
    <row r="3005" spans="1:2" x14ac:dyDescent="0.3">
      <c r="A3005" t="s">
        <v>2473</v>
      </c>
      <c r="B3005" t="s">
        <v>910</v>
      </c>
    </row>
    <row r="3006" spans="1:2" x14ac:dyDescent="0.3">
      <c r="A3006" t="s">
        <v>2474</v>
      </c>
      <c r="B3006" t="s">
        <v>910</v>
      </c>
    </row>
    <row r="3007" spans="1:2" x14ac:dyDescent="0.3">
      <c r="B3007" t="s">
        <v>910</v>
      </c>
    </row>
    <row r="3008" spans="1:2" x14ac:dyDescent="0.3">
      <c r="B3008" t="s">
        <v>910</v>
      </c>
    </row>
    <row r="3009" spans="1:2" x14ac:dyDescent="0.3">
      <c r="B3009" t="s">
        <v>910</v>
      </c>
    </row>
    <row r="3010" spans="1:2" x14ac:dyDescent="0.3">
      <c r="A3010" t="s">
        <v>2475</v>
      </c>
      <c r="B3010" t="s">
        <v>910</v>
      </c>
    </row>
    <row r="3011" spans="1:2" x14ac:dyDescent="0.3">
      <c r="B3011" t="s">
        <v>910</v>
      </c>
    </row>
    <row r="3012" spans="1:2" x14ac:dyDescent="0.3">
      <c r="B3012" t="s">
        <v>910</v>
      </c>
    </row>
    <row r="3013" spans="1:2" x14ac:dyDescent="0.3">
      <c r="A3013" t="s">
        <v>2476</v>
      </c>
      <c r="B3013" t="s">
        <v>910</v>
      </c>
    </row>
    <row r="3014" spans="1:2" x14ac:dyDescent="0.3">
      <c r="A3014" t="s">
        <v>2477</v>
      </c>
      <c r="B3014" t="s">
        <v>910</v>
      </c>
    </row>
    <row r="3015" spans="1:2" x14ac:dyDescent="0.3">
      <c r="A3015" t="s">
        <v>2478</v>
      </c>
      <c r="B3015" t="s">
        <v>910</v>
      </c>
    </row>
    <row r="3016" spans="1:2" x14ac:dyDescent="0.3">
      <c r="B3016" t="s">
        <v>910</v>
      </c>
    </row>
    <row r="3017" spans="1:2" x14ac:dyDescent="0.3">
      <c r="B3017" t="s">
        <v>910</v>
      </c>
    </row>
    <row r="3018" spans="1:2" x14ac:dyDescent="0.3">
      <c r="A3018" t="s">
        <v>2479</v>
      </c>
      <c r="B3018" t="s">
        <v>910</v>
      </c>
    </row>
    <row r="3019" spans="1:2" x14ac:dyDescent="0.3">
      <c r="A3019" t="s">
        <v>2480</v>
      </c>
      <c r="B3019" t="s">
        <v>910</v>
      </c>
    </row>
    <row r="3020" spans="1:2" x14ac:dyDescent="0.3">
      <c r="A3020" t="s">
        <v>2481</v>
      </c>
      <c r="B3020" t="s">
        <v>910</v>
      </c>
    </row>
    <row r="3021" spans="1:2" x14ac:dyDescent="0.3">
      <c r="A3021" t="s">
        <v>2482</v>
      </c>
      <c r="B3021" t="s">
        <v>910</v>
      </c>
    </row>
    <row r="3022" spans="1:2" x14ac:dyDescent="0.3">
      <c r="A3022" t="s">
        <v>2483</v>
      </c>
      <c r="B3022" t="s">
        <v>910</v>
      </c>
    </row>
    <row r="3023" spans="1:2" x14ac:dyDescent="0.3">
      <c r="A3023" t="s">
        <v>2484</v>
      </c>
      <c r="B3023" t="s">
        <v>910</v>
      </c>
    </row>
    <row r="3024" spans="1:2" x14ac:dyDescent="0.3">
      <c r="A3024" t="s">
        <v>2485</v>
      </c>
      <c r="B3024" t="s">
        <v>910</v>
      </c>
    </row>
    <row r="3025" spans="1:2" x14ac:dyDescent="0.3">
      <c r="A3025" t="s">
        <v>2486</v>
      </c>
      <c r="B3025" t="s">
        <v>910</v>
      </c>
    </row>
    <row r="3026" spans="1:2" x14ac:dyDescent="0.3">
      <c r="A3026" t="s">
        <v>2487</v>
      </c>
      <c r="B3026" t="s">
        <v>910</v>
      </c>
    </row>
    <row r="3027" spans="1:2" x14ac:dyDescent="0.3">
      <c r="A3027" t="s">
        <v>2488</v>
      </c>
      <c r="B3027" t="s">
        <v>910</v>
      </c>
    </row>
    <row r="3028" spans="1:2" x14ac:dyDescent="0.3">
      <c r="B3028" t="s">
        <v>910</v>
      </c>
    </row>
    <row r="3029" spans="1:2" x14ac:dyDescent="0.3">
      <c r="A3029" t="s">
        <v>2489</v>
      </c>
      <c r="B3029" t="s">
        <v>910</v>
      </c>
    </row>
    <row r="3030" spans="1:2" x14ac:dyDescent="0.3">
      <c r="B3030" t="s">
        <v>910</v>
      </c>
    </row>
    <row r="3031" spans="1:2" x14ac:dyDescent="0.3">
      <c r="B3031" t="s">
        <v>910</v>
      </c>
    </row>
    <row r="3032" spans="1:2" x14ac:dyDescent="0.3">
      <c r="A3032" t="s">
        <v>2490</v>
      </c>
      <c r="B3032" t="s">
        <v>910</v>
      </c>
    </row>
    <row r="3033" spans="1:2" x14ac:dyDescent="0.3">
      <c r="A3033" t="s">
        <v>2491</v>
      </c>
      <c r="B3033" t="s">
        <v>910</v>
      </c>
    </row>
    <row r="3034" spans="1:2" x14ac:dyDescent="0.3">
      <c r="A3034" t="s">
        <v>2492</v>
      </c>
      <c r="B3034" t="s">
        <v>2324</v>
      </c>
    </row>
    <row r="3035" spans="1:2" x14ac:dyDescent="0.3">
      <c r="A3035" t="s">
        <v>2493</v>
      </c>
      <c r="B3035" t="s">
        <v>896</v>
      </c>
    </row>
    <row r="3036" spans="1:2" x14ac:dyDescent="0.3">
      <c r="A3036" t="s">
        <v>2494</v>
      </c>
      <c r="B3036" t="s">
        <v>896</v>
      </c>
    </row>
    <row r="3037" spans="1:2" x14ac:dyDescent="0.3">
      <c r="B3037" t="s">
        <v>896</v>
      </c>
    </row>
    <row r="3038" spans="1:2" x14ac:dyDescent="0.3">
      <c r="A3038" t="s">
        <v>2495</v>
      </c>
      <c r="B3038" t="s">
        <v>896</v>
      </c>
    </row>
    <row r="3039" spans="1:2" x14ac:dyDescent="0.3">
      <c r="B3039" t="s">
        <v>896</v>
      </c>
    </row>
    <row r="3040" spans="1:2" x14ac:dyDescent="0.3">
      <c r="A3040" t="s">
        <v>2496</v>
      </c>
      <c r="B3040" t="s">
        <v>896</v>
      </c>
    </row>
    <row r="3041" spans="1:2" x14ac:dyDescent="0.3">
      <c r="A3041" t="s">
        <v>2497</v>
      </c>
      <c r="B3041" t="s">
        <v>896</v>
      </c>
    </row>
    <row r="3042" spans="1:2" x14ac:dyDescent="0.3">
      <c r="A3042" t="s">
        <v>888</v>
      </c>
      <c r="B3042" t="s">
        <v>1743</v>
      </c>
    </row>
    <row r="3043" spans="1:2" x14ac:dyDescent="0.3">
      <c r="B3043" t="s">
        <v>72</v>
      </c>
    </row>
    <row r="3044" spans="1:2" x14ac:dyDescent="0.3">
      <c r="B3044" t="s">
        <v>1743</v>
      </c>
    </row>
    <row r="3045" spans="1:2" x14ac:dyDescent="0.3">
      <c r="A3045" t="s">
        <v>2498</v>
      </c>
      <c r="B3045" t="s">
        <v>1743</v>
      </c>
    </row>
    <row r="3046" spans="1:2" x14ac:dyDescent="0.3">
      <c r="A3046" t="s">
        <v>2499</v>
      </c>
      <c r="B3046" t="s">
        <v>1743</v>
      </c>
    </row>
    <row r="3047" spans="1:2" x14ac:dyDescent="0.3">
      <c r="A3047" t="s">
        <v>2500</v>
      </c>
      <c r="B3047" t="s">
        <v>1743</v>
      </c>
    </row>
    <row r="3048" spans="1:2" x14ac:dyDescent="0.3">
      <c r="A3048" t="s">
        <v>2501</v>
      </c>
      <c r="B3048" t="s">
        <v>1743</v>
      </c>
    </row>
    <row r="3049" spans="1:2" x14ac:dyDescent="0.3">
      <c r="A3049" t="s">
        <v>2502</v>
      </c>
      <c r="B3049" t="s">
        <v>910</v>
      </c>
    </row>
    <row r="3050" spans="1:2" x14ac:dyDescent="0.3">
      <c r="A3050" t="s">
        <v>2363</v>
      </c>
      <c r="B3050" t="s">
        <v>910</v>
      </c>
    </row>
    <row r="3051" spans="1:2" x14ac:dyDescent="0.3">
      <c r="A3051" t="s">
        <v>2503</v>
      </c>
      <c r="B3051" t="s">
        <v>910</v>
      </c>
    </row>
    <row r="3052" spans="1:2" x14ac:dyDescent="0.3">
      <c r="B3052" t="s">
        <v>910</v>
      </c>
    </row>
    <row r="3053" spans="1:2" x14ac:dyDescent="0.3">
      <c r="A3053" t="s">
        <v>2504</v>
      </c>
      <c r="B3053" t="s">
        <v>910</v>
      </c>
    </row>
    <row r="3054" spans="1:2" x14ac:dyDescent="0.3">
      <c r="A3054" t="s">
        <v>2505</v>
      </c>
      <c r="B3054" t="s">
        <v>910</v>
      </c>
    </row>
    <row r="3055" spans="1:2" x14ac:dyDescent="0.3">
      <c r="A3055" t="s">
        <v>1677</v>
      </c>
      <c r="B3055" t="s">
        <v>910</v>
      </c>
    </row>
    <row r="3056" spans="1:2" x14ac:dyDescent="0.3">
      <c r="A3056" t="s">
        <v>2506</v>
      </c>
      <c r="B3056" t="s">
        <v>910</v>
      </c>
    </row>
    <row r="3057" spans="1:2" x14ac:dyDescent="0.3">
      <c r="A3057" t="s">
        <v>2507</v>
      </c>
      <c r="B3057" t="s">
        <v>910</v>
      </c>
    </row>
    <row r="3058" spans="1:2" x14ac:dyDescent="0.3">
      <c r="B3058" t="s">
        <v>910</v>
      </c>
    </row>
    <row r="3059" spans="1:2" x14ac:dyDescent="0.3">
      <c r="B3059" t="s">
        <v>910</v>
      </c>
    </row>
    <row r="3060" spans="1:2" x14ac:dyDescent="0.3">
      <c r="A3060" t="s">
        <v>2508</v>
      </c>
      <c r="B3060" t="s">
        <v>910</v>
      </c>
    </row>
    <row r="3061" spans="1:2" x14ac:dyDescent="0.3">
      <c r="A3061" t="s">
        <v>2509</v>
      </c>
      <c r="B3061" t="s">
        <v>910</v>
      </c>
    </row>
    <row r="3062" spans="1:2" x14ac:dyDescent="0.3">
      <c r="A3062" t="s">
        <v>2510</v>
      </c>
      <c r="B3062" t="s">
        <v>910</v>
      </c>
    </row>
    <row r="3063" spans="1:2" x14ac:dyDescent="0.3">
      <c r="A3063" t="s">
        <v>2511</v>
      </c>
      <c r="B3063" t="s">
        <v>910</v>
      </c>
    </row>
    <row r="3064" spans="1:2" x14ac:dyDescent="0.3">
      <c r="B3064" t="s">
        <v>910</v>
      </c>
    </row>
    <row r="3065" spans="1:2" x14ac:dyDescent="0.3">
      <c r="A3065" t="s">
        <v>2512</v>
      </c>
      <c r="B3065" t="s">
        <v>910</v>
      </c>
    </row>
    <row r="3066" spans="1:2" x14ac:dyDescent="0.3">
      <c r="A3066" t="s">
        <v>2513</v>
      </c>
      <c r="B3066" t="s">
        <v>910</v>
      </c>
    </row>
    <row r="3067" spans="1:2" x14ac:dyDescent="0.3">
      <c r="A3067" t="s">
        <v>2514</v>
      </c>
      <c r="B3067" t="s">
        <v>910</v>
      </c>
    </row>
    <row r="3068" spans="1:2" x14ac:dyDescent="0.3">
      <c r="B3068" t="s">
        <v>910</v>
      </c>
    </row>
    <row r="3069" spans="1:2" x14ac:dyDescent="0.3">
      <c r="B3069" t="s">
        <v>910</v>
      </c>
    </row>
    <row r="3070" spans="1:2" x14ac:dyDescent="0.3">
      <c r="A3070" t="s">
        <v>2515</v>
      </c>
      <c r="B3070" t="s">
        <v>910</v>
      </c>
    </row>
    <row r="3071" spans="1:2" x14ac:dyDescent="0.3">
      <c r="A3071" t="s">
        <v>2516</v>
      </c>
      <c r="B3071" t="s">
        <v>910</v>
      </c>
    </row>
    <row r="3072" spans="1:2" x14ac:dyDescent="0.3">
      <c r="A3072" t="s">
        <v>2517</v>
      </c>
      <c r="B3072" t="s">
        <v>910</v>
      </c>
    </row>
    <row r="3073" spans="1:2" x14ac:dyDescent="0.3">
      <c r="B3073" t="s">
        <v>910</v>
      </c>
    </row>
    <row r="3074" spans="1:2" x14ac:dyDescent="0.3">
      <c r="A3074" t="s">
        <v>2518</v>
      </c>
      <c r="B3074" t="s">
        <v>2519</v>
      </c>
    </row>
    <row r="3075" spans="1:2" x14ac:dyDescent="0.3">
      <c r="A3075" t="s">
        <v>2520</v>
      </c>
      <c r="B3075" t="s">
        <v>1107</v>
      </c>
    </row>
    <row r="3076" spans="1:2" x14ac:dyDescent="0.3">
      <c r="A3076" t="s">
        <v>2521</v>
      </c>
      <c r="B3076" t="s">
        <v>175</v>
      </c>
    </row>
    <row r="3077" spans="1:2" x14ac:dyDescent="0.3">
      <c r="B3077" t="s">
        <v>175</v>
      </c>
    </row>
    <row r="3078" spans="1:2" x14ac:dyDescent="0.3">
      <c r="B3078" t="s">
        <v>175</v>
      </c>
    </row>
    <row r="3079" spans="1:2" x14ac:dyDescent="0.3">
      <c r="A3079" t="s">
        <v>2522</v>
      </c>
      <c r="B3079" t="s">
        <v>169</v>
      </c>
    </row>
    <row r="3080" spans="1:2" x14ac:dyDescent="0.3">
      <c r="A3080" t="s">
        <v>2523</v>
      </c>
      <c r="B3080" t="s">
        <v>175</v>
      </c>
    </row>
    <row r="3081" spans="1:2" x14ac:dyDescent="0.3">
      <c r="B3081" t="s">
        <v>175</v>
      </c>
    </row>
    <row r="3082" spans="1:2" x14ac:dyDescent="0.3">
      <c r="A3082" t="s">
        <v>2524</v>
      </c>
      <c r="B3082" t="s">
        <v>175</v>
      </c>
    </row>
    <row r="3083" spans="1:2" x14ac:dyDescent="0.3">
      <c r="A3083" t="s">
        <v>2525</v>
      </c>
      <c r="B3083" t="s">
        <v>175</v>
      </c>
    </row>
    <row r="3084" spans="1:2" x14ac:dyDescent="0.3">
      <c r="A3084" t="s">
        <v>2526</v>
      </c>
      <c r="B3084" t="s">
        <v>175</v>
      </c>
    </row>
    <row r="3085" spans="1:2" x14ac:dyDescent="0.3">
      <c r="B3085" t="s">
        <v>175</v>
      </c>
    </row>
    <row r="3086" spans="1:2" x14ac:dyDescent="0.3">
      <c r="B3086" t="s">
        <v>175</v>
      </c>
    </row>
    <row r="3087" spans="1:2" x14ac:dyDescent="0.3">
      <c r="B3087" t="s">
        <v>175</v>
      </c>
    </row>
    <row r="3088" spans="1:2" x14ac:dyDescent="0.3">
      <c r="A3088" t="s">
        <v>2527</v>
      </c>
      <c r="B3088" t="s">
        <v>175</v>
      </c>
    </row>
    <row r="3089" spans="1:2" x14ac:dyDescent="0.3">
      <c r="B3089" t="s">
        <v>175</v>
      </c>
    </row>
    <row r="3090" spans="1:2" x14ac:dyDescent="0.3">
      <c r="B3090" t="s">
        <v>175</v>
      </c>
    </row>
    <row r="3091" spans="1:2" x14ac:dyDescent="0.3">
      <c r="A3091" t="s">
        <v>2528</v>
      </c>
      <c r="B3091" t="s">
        <v>175</v>
      </c>
    </row>
    <row r="3092" spans="1:2" x14ac:dyDescent="0.3">
      <c r="A3092" t="s">
        <v>2529</v>
      </c>
      <c r="B3092" t="s">
        <v>175</v>
      </c>
    </row>
    <row r="3093" spans="1:2" x14ac:dyDescent="0.3">
      <c r="B3093" t="s">
        <v>175</v>
      </c>
    </row>
    <row r="3094" spans="1:2" x14ac:dyDescent="0.3">
      <c r="A3094" t="s">
        <v>258</v>
      </c>
      <c r="B3094" t="s">
        <v>175</v>
      </c>
    </row>
    <row r="3095" spans="1:2" x14ac:dyDescent="0.3">
      <c r="A3095" t="s">
        <v>2530</v>
      </c>
      <c r="B3095" t="s">
        <v>175</v>
      </c>
    </row>
    <row r="3096" spans="1:2" x14ac:dyDescent="0.3">
      <c r="B3096" t="s">
        <v>175</v>
      </c>
    </row>
    <row r="3097" spans="1:2" x14ac:dyDescent="0.3">
      <c r="A3097" t="s">
        <v>2531</v>
      </c>
      <c r="B3097" t="s">
        <v>175</v>
      </c>
    </row>
    <row r="3098" spans="1:2" x14ac:dyDescent="0.3">
      <c r="B3098" t="s">
        <v>175</v>
      </c>
    </row>
    <row r="3099" spans="1:2" x14ac:dyDescent="0.3">
      <c r="A3099" t="s">
        <v>2532</v>
      </c>
      <c r="B3099" t="s">
        <v>175</v>
      </c>
    </row>
    <row r="3100" spans="1:2" x14ac:dyDescent="0.3">
      <c r="A3100" t="s">
        <v>2533</v>
      </c>
      <c r="B3100" t="s">
        <v>175</v>
      </c>
    </row>
    <row r="3101" spans="1:2" x14ac:dyDescent="0.3">
      <c r="A3101" t="s">
        <v>2534</v>
      </c>
      <c r="B3101" t="s">
        <v>175</v>
      </c>
    </row>
    <row r="3102" spans="1:2" x14ac:dyDescent="0.3">
      <c r="A3102" t="s">
        <v>2535</v>
      </c>
      <c r="B3102" t="s">
        <v>175</v>
      </c>
    </row>
    <row r="3103" spans="1:2" x14ac:dyDescent="0.3">
      <c r="B3103" t="s">
        <v>175</v>
      </c>
    </row>
    <row r="3104" spans="1:2" x14ac:dyDescent="0.3">
      <c r="A3104" t="s">
        <v>2536</v>
      </c>
      <c r="B3104" t="s">
        <v>175</v>
      </c>
    </row>
    <row r="3105" spans="1:2" x14ac:dyDescent="0.3">
      <c r="B3105" t="s">
        <v>175</v>
      </c>
    </row>
    <row r="3106" spans="1:2" x14ac:dyDescent="0.3">
      <c r="B3106" t="s">
        <v>175</v>
      </c>
    </row>
    <row r="3107" spans="1:2" x14ac:dyDescent="0.3">
      <c r="B3107" t="s">
        <v>72</v>
      </c>
    </row>
    <row r="3108" spans="1:2" x14ac:dyDescent="0.3">
      <c r="A3108" t="s">
        <v>2537</v>
      </c>
      <c r="B3108" t="s">
        <v>171</v>
      </c>
    </row>
    <row r="3109" spans="1:2" x14ac:dyDescent="0.3">
      <c r="B3109" t="s">
        <v>249</v>
      </c>
    </row>
    <row r="3110" spans="1:2" x14ac:dyDescent="0.3">
      <c r="A3110" t="s">
        <v>2538</v>
      </c>
      <c r="B3110" t="s">
        <v>896</v>
      </c>
    </row>
    <row r="3111" spans="1:2" x14ac:dyDescent="0.3">
      <c r="B3111" t="s">
        <v>896</v>
      </c>
    </row>
    <row r="3112" spans="1:2" x14ac:dyDescent="0.3">
      <c r="B3112" t="s">
        <v>896</v>
      </c>
    </row>
    <row r="3113" spans="1:2" x14ac:dyDescent="0.3">
      <c r="A3113" t="s">
        <v>2539</v>
      </c>
      <c r="B3113" t="s">
        <v>896</v>
      </c>
    </row>
    <row r="3114" spans="1:2" x14ac:dyDescent="0.3">
      <c r="A3114" t="s">
        <v>2540</v>
      </c>
      <c r="B3114" t="s">
        <v>896</v>
      </c>
    </row>
    <row r="3115" spans="1:2" x14ac:dyDescent="0.3">
      <c r="B3115" t="s">
        <v>896</v>
      </c>
    </row>
    <row r="3116" spans="1:2" x14ac:dyDescent="0.3">
      <c r="B3116" t="s">
        <v>249</v>
      </c>
    </row>
    <row r="3117" spans="1:2" x14ac:dyDescent="0.3">
      <c r="B3117" t="s">
        <v>896</v>
      </c>
    </row>
    <row r="3118" spans="1:2" x14ac:dyDescent="0.3">
      <c r="A3118" t="s">
        <v>2541</v>
      </c>
      <c r="B3118" t="s">
        <v>896</v>
      </c>
    </row>
    <row r="3119" spans="1:2" x14ac:dyDescent="0.3">
      <c r="B3119" t="s">
        <v>896</v>
      </c>
    </row>
    <row r="3120" spans="1:2" x14ac:dyDescent="0.3">
      <c r="B3120" t="s">
        <v>896</v>
      </c>
    </row>
    <row r="3121" spans="1:2" x14ac:dyDescent="0.3">
      <c r="B3121" t="s">
        <v>896</v>
      </c>
    </row>
    <row r="3122" spans="1:2" x14ac:dyDescent="0.3">
      <c r="A3122" t="s">
        <v>2542</v>
      </c>
      <c r="B3122" t="s">
        <v>249</v>
      </c>
    </row>
    <row r="3123" spans="1:2" x14ac:dyDescent="0.3">
      <c r="B3123" t="s">
        <v>896</v>
      </c>
    </row>
    <row r="3124" spans="1:2" x14ac:dyDescent="0.3">
      <c r="A3124" t="s">
        <v>2543</v>
      </c>
      <c r="B3124" t="s">
        <v>896</v>
      </c>
    </row>
    <row r="3125" spans="1:2" x14ac:dyDescent="0.3">
      <c r="B3125" t="s">
        <v>896</v>
      </c>
    </row>
    <row r="3126" spans="1:2" x14ac:dyDescent="0.3">
      <c r="A3126" t="s">
        <v>2544</v>
      </c>
      <c r="B3126" t="s">
        <v>896</v>
      </c>
    </row>
    <row r="3127" spans="1:2" x14ac:dyDescent="0.3">
      <c r="A3127" t="s">
        <v>2545</v>
      </c>
      <c r="B3127" t="s">
        <v>1</v>
      </c>
    </row>
    <row r="3128" spans="1:2" x14ac:dyDescent="0.3">
      <c r="A3128" t="s">
        <v>2546</v>
      </c>
      <c r="B3128" t="s">
        <v>896</v>
      </c>
    </row>
    <row r="3129" spans="1:2" x14ac:dyDescent="0.3">
      <c r="B3129" t="s">
        <v>263</v>
      </c>
    </row>
    <row r="3130" spans="1:2" x14ac:dyDescent="0.3">
      <c r="A3130" t="s">
        <v>2547</v>
      </c>
      <c r="B3130" t="s">
        <v>896</v>
      </c>
    </row>
    <row r="3131" spans="1:2" x14ac:dyDescent="0.3">
      <c r="B3131" t="s">
        <v>896</v>
      </c>
    </row>
    <row r="3132" spans="1:2" x14ac:dyDescent="0.3">
      <c r="A3132" t="s">
        <v>2548</v>
      </c>
      <c r="B3132" t="s">
        <v>896</v>
      </c>
    </row>
    <row r="3133" spans="1:2" x14ac:dyDescent="0.3">
      <c r="A3133" t="s">
        <v>2549</v>
      </c>
      <c r="B3133" t="s">
        <v>896</v>
      </c>
    </row>
    <row r="3134" spans="1:2" x14ac:dyDescent="0.3">
      <c r="A3134" t="s">
        <v>930</v>
      </c>
      <c r="B3134" t="s">
        <v>896</v>
      </c>
    </row>
    <row r="3135" spans="1:2" x14ac:dyDescent="0.3">
      <c r="B3135" t="s">
        <v>896</v>
      </c>
    </row>
    <row r="3136" spans="1:2" x14ac:dyDescent="0.3">
      <c r="A3136" t="s">
        <v>2550</v>
      </c>
      <c r="B3136" t="s">
        <v>896</v>
      </c>
    </row>
    <row r="3137" spans="1:2" x14ac:dyDescent="0.3">
      <c r="B3137" t="s">
        <v>896</v>
      </c>
    </row>
    <row r="3138" spans="1:2" x14ac:dyDescent="0.3">
      <c r="B3138" t="s">
        <v>896</v>
      </c>
    </row>
    <row r="3139" spans="1:2" x14ac:dyDescent="0.3">
      <c r="B3139" t="s">
        <v>896</v>
      </c>
    </row>
    <row r="3140" spans="1:2" x14ac:dyDescent="0.3">
      <c r="B3140" t="s">
        <v>263</v>
      </c>
    </row>
    <row r="3141" spans="1:2" x14ac:dyDescent="0.3">
      <c r="A3141" t="s">
        <v>2551</v>
      </c>
      <c r="B3141" t="s">
        <v>896</v>
      </c>
    </row>
    <row r="3142" spans="1:2" x14ac:dyDescent="0.3">
      <c r="B3142" t="s">
        <v>896</v>
      </c>
    </row>
    <row r="3143" spans="1:2" x14ac:dyDescent="0.3">
      <c r="B3143" t="s">
        <v>896</v>
      </c>
    </row>
    <row r="3144" spans="1:2" x14ac:dyDescent="0.3">
      <c r="A3144" t="s">
        <v>2552</v>
      </c>
      <c r="B3144" t="s">
        <v>896</v>
      </c>
    </row>
    <row r="3145" spans="1:2" x14ac:dyDescent="0.3">
      <c r="A3145" t="s">
        <v>2553</v>
      </c>
      <c r="B3145" t="s">
        <v>896</v>
      </c>
    </row>
    <row r="3146" spans="1:2" x14ac:dyDescent="0.3">
      <c r="A3146" t="s">
        <v>2554</v>
      </c>
      <c r="B3146" t="s">
        <v>896</v>
      </c>
    </row>
    <row r="3147" spans="1:2" x14ac:dyDescent="0.3">
      <c r="B3147" t="s">
        <v>896</v>
      </c>
    </row>
    <row r="3148" spans="1:2" x14ac:dyDescent="0.3">
      <c r="A3148" t="s">
        <v>2555</v>
      </c>
      <c r="B3148" t="s">
        <v>896</v>
      </c>
    </row>
    <row r="3149" spans="1:2" x14ac:dyDescent="0.3">
      <c r="A3149" t="s">
        <v>2556</v>
      </c>
      <c r="B3149" t="s">
        <v>169</v>
      </c>
    </row>
    <row r="3150" spans="1:2" x14ac:dyDescent="0.3">
      <c r="A3150" t="s">
        <v>2557</v>
      </c>
      <c r="B3150" t="s">
        <v>169</v>
      </c>
    </row>
    <row r="3151" spans="1:2" x14ac:dyDescent="0.3">
      <c r="A3151" t="s">
        <v>2558</v>
      </c>
      <c r="B3151" t="s">
        <v>169</v>
      </c>
    </row>
    <row r="3152" spans="1:2" x14ac:dyDescent="0.3">
      <c r="A3152" t="s">
        <v>2559</v>
      </c>
      <c r="B3152" t="s">
        <v>169</v>
      </c>
    </row>
    <row r="3153" spans="1:2" x14ac:dyDescent="0.3">
      <c r="A3153" t="s">
        <v>2560</v>
      </c>
      <c r="B3153" t="s">
        <v>169</v>
      </c>
    </row>
    <row r="3154" spans="1:2" x14ac:dyDescent="0.3">
      <c r="A3154" t="s">
        <v>2561</v>
      </c>
      <c r="B3154" t="s">
        <v>169</v>
      </c>
    </row>
    <row r="3155" spans="1:2" x14ac:dyDescent="0.3">
      <c r="A3155" t="s">
        <v>2562</v>
      </c>
      <c r="B3155" t="s">
        <v>169</v>
      </c>
    </row>
    <row r="3156" spans="1:2" x14ac:dyDescent="0.3">
      <c r="A3156" t="s">
        <v>2563</v>
      </c>
      <c r="B3156" t="s">
        <v>169</v>
      </c>
    </row>
    <row r="3157" spans="1:2" x14ac:dyDescent="0.3">
      <c r="A3157" t="s">
        <v>135</v>
      </c>
      <c r="B3157" t="s">
        <v>160</v>
      </c>
    </row>
    <row r="3158" spans="1:2" x14ac:dyDescent="0.3">
      <c r="A3158" t="s">
        <v>1882</v>
      </c>
      <c r="B3158" t="s">
        <v>169</v>
      </c>
    </row>
    <row r="3159" spans="1:2" x14ac:dyDescent="0.3">
      <c r="A3159" t="s">
        <v>2564</v>
      </c>
      <c r="B3159" t="s">
        <v>169</v>
      </c>
    </row>
    <row r="3160" spans="1:2" x14ac:dyDescent="0.3">
      <c r="A3160" t="s">
        <v>2565</v>
      </c>
      <c r="B3160" t="s">
        <v>169</v>
      </c>
    </row>
    <row r="3161" spans="1:2" x14ac:dyDescent="0.3">
      <c r="A3161" t="s">
        <v>2566</v>
      </c>
      <c r="B3161" t="s">
        <v>169</v>
      </c>
    </row>
    <row r="3162" spans="1:2" x14ac:dyDescent="0.3">
      <c r="A3162" t="s">
        <v>2567</v>
      </c>
      <c r="B3162" t="s">
        <v>169</v>
      </c>
    </row>
    <row r="3163" spans="1:2" x14ac:dyDescent="0.3">
      <c r="A3163" t="s">
        <v>2568</v>
      </c>
      <c r="B3163" t="s">
        <v>169</v>
      </c>
    </row>
    <row r="3164" spans="1:2" x14ac:dyDescent="0.3">
      <c r="B3164" t="s">
        <v>2353</v>
      </c>
    </row>
    <row r="3165" spans="1:2" x14ac:dyDescent="0.3">
      <c r="A3165" t="s">
        <v>2569</v>
      </c>
      <c r="B3165" t="s">
        <v>169</v>
      </c>
    </row>
    <row r="3166" spans="1:2" x14ac:dyDescent="0.3">
      <c r="A3166" t="s">
        <v>2570</v>
      </c>
      <c r="B3166" t="s">
        <v>169</v>
      </c>
    </row>
    <row r="3167" spans="1:2" x14ac:dyDescent="0.3">
      <c r="A3167" t="s">
        <v>2571</v>
      </c>
      <c r="B3167" t="s">
        <v>169</v>
      </c>
    </row>
    <row r="3168" spans="1:2" x14ac:dyDescent="0.3">
      <c r="A3168" t="s">
        <v>2572</v>
      </c>
      <c r="B3168" t="s">
        <v>169</v>
      </c>
    </row>
    <row r="3169" spans="1:2" x14ac:dyDescent="0.3">
      <c r="A3169" t="s">
        <v>2573</v>
      </c>
      <c r="B3169" t="s">
        <v>169</v>
      </c>
    </row>
    <row r="3170" spans="1:2" x14ac:dyDescent="0.3">
      <c r="A3170" t="s">
        <v>2574</v>
      </c>
      <c r="B3170" t="s">
        <v>169</v>
      </c>
    </row>
    <row r="3171" spans="1:2" x14ac:dyDescent="0.3">
      <c r="A3171" t="s">
        <v>2575</v>
      </c>
      <c r="B3171" t="s">
        <v>201</v>
      </c>
    </row>
    <row r="3172" spans="1:2" x14ac:dyDescent="0.3">
      <c r="A3172" t="s">
        <v>2576</v>
      </c>
      <c r="B3172" t="s">
        <v>201</v>
      </c>
    </row>
    <row r="3173" spans="1:2" x14ac:dyDescent="0.3">
      <c r="A3173" t="s">
        <v>2577</v>
      </c>
      <c r="B3173" t="s">
        <v>201</v>
      </c>
    </row>
    <row r="3174" spans="1:2" x14ac:dyDescent="0.3">
      <c r="A3174" t="s">
        <v>2578</v>
      </c>
      <c r="B3174" t="s">
        <v>201</v>
      </c>
    </row>
    <row r="3175" spans="1:2" x14ac:dyDescent="0.3">
      <c r="A3175" t="s">
        <v>2579</v>
      </c>
      <c r="B3175" t="s">
        <v>201</v>
      </c>
    </row>
    <row r="3176" spans="1:2" x14ac:dyDescent="0.3">
      <c r="A3176" t="s">
        <v>2580</v>
      </c>
      <c r="B3176" t="s">
        <v>201</v>
      </c>
    </row>
    <row r="3177" spans="1:2" x14ac:dyDescent="0.3">
      <c r="A3177" t="s">
        <v>2581</v>
      </c>
      <c r="B3177" t="s">
        <v>201</v>
      </c>
    </row>
    <row r="3178" spans="1:2" x14ac:dyDescent="0.3">
      <c r="A3178" t="s">
        <v>2582</v>
      </c>
      <c r="B3178" t="s">
        <v>201</v>
      </c>
    </row>
    <row r="3179" spans="1:2" x14ac:dyDescent="0.3">
      <c r="A3179" t="s">
        <v>2583</v>
      </c>
      <c r="B3179" t="s">
        <v>201</v>
      </c>
    </row>
    <row r="3180" spans="1:2" x14ac:dyDescent="0.3">
      <c r="A3180" t="s">
        <v>2584</v>
      </c>
      <c r="B3180" t="s">
        <v>201</v>
      </c>
    </row>
    <row r="3181" spans="1:2" x14ac:dyDescent="0.3">
      <c r="A3181" t="s">
        <v>2585</v>
      </c>
      <c r="B3181" t="s">
        <v>1470</v>
      </c>
    </row>
    <row r="3182" spans="1:2" x14ac:dyDescent="0.3">
      <c r="A3182" t="s">
        <v>2586</v>
      </c>
      <c r="B3182" t="s">
        <v>169</v>
      </c>
    </row>
    <row r="3183" spans="1:2" x14ac:dyDescent="0.3">
      <c r="A3183" t="s">
        <v>2587</v>
      </c>
      <c r="B3183" t="s">
        <v>169</v>
      </c>
    </row>
    <row r="3184" spans="1:2" x14ac:dyDescent="0.3">
      <c r="A3184" t="s">
        <v>2588</v>
      </c>
      <c r="B3184" t="s">
        <v>169</v>
      </c>
    </row>
    <row r="3185" spans="1:2" x14ac:dyDescent="0.3">
      <c r="A3185" t="s">
        <v>2589</v>
      </c>
      <c r="B3185" t="s">
        <v>169</v>
      </c>
    </row>
    <row r="3186" spans="1:2" x14ac:dyDescent="0.3">
      <c r="B3186" t="s">
        <v>169</v>
      </c>
    </row>
    <row r="3187" spans="1:2" x14ac:dyDescent="0.3">
      <c r="A3187" t="s">
        <v>2590</v>
      </c>
      <c r="B3187" t="s">
        <v>169</v>
      </c>
    </row>
    <row r="3188" spans="1:2" x14ac:dyDescent="0.3">
      <c r="A3188" t="s">
        <v>2591</v>
      </c>
      <c r="B3188" t="s">
        <v>169</v>
      </c>
    </row>
    <row r="3189" spans="1:2" x14ac:dyDescent="0.3">
      <c r="B3189" t="s">
        <v>169</v>
      </c>
    </row>
    <row r="3190" spans="1:2" x14ac:dyDescent="0.3">
      <c r="B3190" t="s">
        <v>169</v>
      </c>
    </row>
    <row r="3191" spans="1:2" x14ac:dyDescent="0.3">
      <c r="A3191" t="s">
        <v>2592</v>
      </c>
      <c r="B3191" t="s">
        <v>169</v>
      </c>
    </row>
    <row r="3192" spans="1:2" x14ac:dyDescent="0.3">
      <c r="B3192" t="s">
        <v>2353</v>
      </c>
    </row>
    <row r="3193" spans="1:2" x14ac:dyDescent="0.3">
      <c r="A3193" t="s">
        <v>2593</v>
      </c>
      <c r="B3193" t="s">
        <v>169</v>
      </c>
    </row>
    <row r="3194" spans="1:2" x14ac:dyDescent="0.3">
      <c r="B3194" t="s">
        <v>2363</v>
      </c>
    </row>
    <row r="3195" spans="1:2" x14ac:dyDescent="0.3">
      <c r="B3195" t="s">
        <v>72</v>
      </c>
    </row>
    <row r="3196" spans="1:2" x14ac:dyDescent="0.3">
      <c r="A3196" t="s">
        <v>2594</v>
      </c>
      <c r="B3196" t="s">
        <v>169</v>
      </c>
    </row>
    <row r="3197" spans="1:2" x14ac:dyDescent="0.3">
      <c r="A3197" t="s">
        <v>2595</v>
      </c>
      <c r="B3197" t="s">
        <v>169</v>
      </c>
    </row>
    <row r="3198" spans="1:2" x14ac:dyDescent="0.3">
      <c r="A3198" t="s">
        <v>2596</v>
      </c>
      <c r="B3198" t="s">
        <v>169</v>
      </c>
    </row>
    <row r="3199" spans="1:2" x14ac:dyDescent="0.3">
      <c r="A3199" t="s">
        <v>2597</v>
      </c>
      <c r="B3199" t="s">
        <v>169</v>
      </c>
    </row>
    <row r="3200" spans="1:2" x14ac:dyDescent="0.3">
      <c r="B3200" t="s">
        <v>169</v>
      </c>
    </row>
    <row r="3201" spans="1:2" x14ac:dyDescent="0.3">
      <c r="A3201" t="s">
        <v>2598</v>
      </c>
      <c r="B3201" t="s">
        <v>1502</v>
      </c>
    </row>
    <row r="3202" spans="1:2" x14ac:dyDescent="0.3">
      <c r="A3202" t="s">
        <v>2599</v>
      </c>
      <c r="B3202" t="s">
        <v>169</v>
      </c>
    </row>
    <row r="3203" spans="1:2" x14ac:dyDescent="0.3">
      <c r="B3203" t="s">
        <v>201</v>
      </c>
    </row>
    <row r="3204" spans="1:2" x14ac:dyDescent="0.3">
      <c r="A3204" t="s">
        <v>2600</v>
      </c>
      <c r="B3204" t="s">
        <v>201</v>
      </c>
    </row>
    <row r="3205" spans="1:2" x14ac:dyDescent="0.3">
      <c r="B3205" t="s">
        <v>201</v>
      </c>
    </row>
    <row r="3206" spans="1:2" x14ac:dyDescent="0.3">
      <c r="A3206" t="s">
        <v>2601</v>
      </c>
      <c r="B3206" t="s">
        <v>201</v>
      </c>
    </row>
    <row r="3207" spans="1:2" x14ac:dyDescent="0.3">
      <c r="A3207" t="s">
        <v>2602</v>
      </c>
      <c r="B3207" t="s">
        <v>201</v>
      </c>
    </row>
    <row r="3208" spans="1:2" x14ac:dyDescent="0.3">
      <c r="A3208" t="s">
        <v>2603</v>
      </c>
      <c r="B3208" t="s">
        <v>201</v>
      </c>
    </row>
    <row r="3209" spans="1:2" x14ac:dyDescent="0.3">
      <c r="B3209" t="s">
        <v>201</v>
      </c>
    </row>
    <row r="3210" spans="1:2" x14ac:dyDescent="0.3">
      <c r="A3210" t="s">
        <v>2604</v>
      </c>
      <c r="B3210" t="s">
        <v>201</v>
      </c>
    </row>
    <row r="3211" spans="1:2" x14ac:dyDescent="0.3">
      <c r="A3211" t="s">
        <v>2605</v>
      </c>
      <c r="B3211" t="s">
        <v>201</v>
      </c>
    </row>
    <row r="3212" spans="1:2" x14ac:dyDescent="0.3">
      <c r="A3212" t="s">
        <v>2606</v>
      </c>
      <c r="B3212" t="s">
        <v>201</v>
      </c>
    </row>
    <row r="3213" spans="1:2" x14ac:dyDescent="0.3">
      <c r="A3213" t="s">
        <v>2607</v>
      </c>
      <c r="B3213" t="s">
        <v>201</v>
      </c>
    </row>
    <row r="3214" spans="1:2" x14ac:dyDescent="0.3">
      <c r="A3214" t="s">
        <v>2608</v>
      </c>
      <c r="B3214" t="s">
        <v>201</v>
      </c>
    </row>
    <row r="3215" spans="1:2" x14ac:dyDescent="0.3">
      <c r="A3215" t="s">
        <v>2609</v>
      </c>
      <c r="B3215" t="s">
        <v>201</v>
      </c>
    </row>
    <row r="3216" spans="1:2" x14ac:dyDescent="0.3">
      <c r="A3216" t="s">
        <v>2610</v>
      </c>
      <c r="B3216" t="s">
        <v>201</v>
      </c>
    </row>
    <row r="3217" spans="1:2" x14ac:dyDescent="0.3">
      <c r="B3217" t="s">
        <v>896</v>
      </c>
    </row>
    <row r="3218" spans="1:2" x14ac:dyDescent="0.3">
      <c r="A3218" t="s">
        <v>2611</v>
      </c>
      <c r="B3218" t="s">
        <v>896</v>
      </c>
    </row>
    <row r="3219" spans="1:2" x14ac:dyDescent="0.3">
      <c r="B3219" t="s">
        <v>896</v>
      </c>
    </row>
    <row r="3220" spans="1:2" x14ac:dyDescent="0.3">
      <c r="B3220" t="s">
        <v>49</v>
      </c>
    </row>
    <row r="3221" spans="1:2" x14ac:dyDescent="0.3">
      <c r="A3221" t="s">
        <v>2612</v>
      </c>
      <c r="B3221" t="s">
        <v>49</v>
      </c>
    </row>
    <row r="3222" spans="1:2" x14ac:dyDescent="0.3">
      <c r="B3222" t="s">
        <v>49</v>
      </c>
    </row>
    <row r="3223" spans="1:2" x14ac:dyDescent="0.3">
      <c r="A3223" t="s">
        <v>2613</v>
      </c>
      <c r="B3223" t="s">
        <v>49</v>
      </c>
    </row>
    <row r="3224" spans="1:2" x14ac:dyDescent="0.3">
      <c r="A3224" t="s">
        <v>2614</v>
      </c>
      <c r="B3224" t="s">
        <v>49</v>
      </c>
    </row>
    <row r="3225" spans="1:2" x14ac:dyDescent="0.3">
      <c r="B3225" t="s">
        <v>171</v>
      </c>
    </row>
    <row r="3226" spans="1:2" x14ac:dyDescent="0.3">
      <c r="A3226" t="s">
        <v>2615</v>
      </c>
      <c r="B3226" t="s">
        <v>171</v>
      </c>
    </row>
    <row r="3227" spans="1:2" x14ac:dyDescent="0.3">
      <c r="A3227" t="s">
        <v>2616</v>
      </c>
      <c r="B3227" t="s">
        <v>171</v>
      </c>
    </row>
    <row r="3228" spans="1:2" x14ac:dyDescent="0.3">
      <c r="A3228" t="s">
        <v>2617</v>
      </c>
      <c r="B3228" t="s">
        <v>171</v>
      </c>
    </row>
    <row r="3229" spans="1:2" x14ac:dyDescent="0.3">
      <c r="A3229" t="s">
        <v>2618</v>
      </c>
      <c r="B3229" t="s">
        <v>171</v>
      </c>
    </row>
    <row r="3230" spans="1:2" x14ac:dyDescent="0.3">
      <c r="A3230" t="s">
        <v>2619</v>
      </c>
      <c r="B3230" t="s">
        <v>171</v>
      </c>
    </row>
    <row r="3231" spans="1:2" x14ac:dyDescent="0.3">
      <c r="A3231" t="s">
        <v>2620</v>
      </c>
      <c r="B3231" t="s">
        <v>171</v>
      </c>
    </row>
    <row r="3232" spans="1:2" x14ac:dyDescent="0.3">
      <c r="A3232" t="s">
        <v>2621</v>
      </c>
      <c r="B3232" t="s">
        <v>171</v>
      </c>
    </row>
    <row r="3233" spans="1:2" x14ac:dyDescent="0.3">
      <c r="A3233" t="s">
        <v>2622</v>
      </c>
      <c r="B3233" t="s">
        <v>171</v>
      </c>
    </row>
    <row r="3234" spans="1:2" x14ac:dyDescent="0.3">
      <c r="A3234" t="s">
        <v>2623</v>
      </c>
      <c r="B3234" t="s">
        <v>171</v>
      </c>
    </row>
    <row r="3235" spans="1:2" x14ac:dyDescent="0.3">
      <c r="A3235" t="s">
        <v>2624</v>
      </c>
      <c r="B3235" t="s">
        <v>171</v>
      </c>
    </row>
    <row r="3236" spans="1:2" x14ac:dyDescent="0.3">
      <c r="A3236" t="s">
        <v>2625</v>
      </c>
      <c r="B3236" t="s">
        <v>171</v>
      </c>
    </row>
    <row r="3237" spans="1:2" x14ac:dyDescent="0.3">
      <c r="A3237" t="s">
        <v>2626</v>
      </c>
      <c r="B3237" t="s">
        <v>171</v>
      </c>
    </row>
    <row r="3238" spans="1:2" x14ac:dyDescent="0.3">
      <c r="A3238" t="s">
        <v>2627</v>
      </c>
      <c r="B3238" t="s">
        <v>171</v>
      </c>
    </row>
    <row r="3239" spans="1:2" x14ac:dyDescent="0.3">
      <c r="A3239" t="s">
        <v>2628</v>
      </c>
      <c r="B3239" t="s">
        <v>171</v>
      </c>
    </row>
    <row r="3240" spans="1:2" x14ac:dyDescent="0.3">
      <c r="A3240" t="s">
        <v>2629</v>
      </c>
      <c r="B3240" t="s">
        <v>171</v>
      </c>
    </row>
    <row r="3241" spans="1:2" x14ac:dyDescent="0.3">
      <c r="A3241" t="s">
        <v>2630</v>
      </c>
      <c r="B3241" t="s">
        <v>171</v>
      </c>
    </row>
    <row r="3242" spans="1:2" x14ac:dyDescent="0.3">
      <c r="B3242" t="s">
        <v>171</v>
      </c>
    </row>
    <row r="3243" spans="1:2" x14ac:dyDescent="0.3">
      <c r="A3243" t="s">
        <v>2631</v>
      </c>
      <c r="B3243" t="s">
        <v>171</v>
      </c>
    </row>
    <row r="3244" spans="1:2" x14ac:dyDescent="0.3">
      <c r="A3244" t="s">
        <v>2632</v>
      </c>
      <c r="B3244" t="s">
        <v>171</v>
      </c>
    </row>
    <row r="3245" spans="1:2" x14ac:dyDescent="0.3">
      <c r="A3245" t="s">
        <v>2633</v>
      </c>
      <c r="B3245" t="s">
        <v>171</v>
      </c>
    </row>
    <row r="3246" spans="1:2" x14ac:dyDescent="0.3">
      <c r="A3246" t="s">
        <v>2634</v>
      </c>
      <c r="B3246" t="s">
        <v>171</v>
      </c>
    </row>
    <row r="3247" spans="1:2" x14ac:dyDescent="0.3">
      <c r="B3247" t="s">
        <v>171</v>
      </c>
    </row>
    <row r="3248" spans="1:2" x14ac:dyDescent="0.3">
      <c r="A3248" t="s">
        <v>2635</v>
      </c>
      <c r="B3248" t="s">
        <v>171</v>
      </c>
    </row>
    <row r="3249" spans="1:2" x14ac:dyDescent="0.3">
      <c r="B3249" t="s">
        <v>171</v>
      </c>
    </row>
    <row r="3250" spans="1:2" x14ac:dyDescent="0.3">
      <c r="A3250" t="s">
        <v>2636</v>
      </c>
      <c r="B3250" t="s">
        <v>171</v>
      </c>
    </row>
    <row r="3251" spans="1:2" x14ac:dyDescent="0.3">
      <c r="A3251" t="s">
        <v>2637</v>
      </c>
      <c r="B3251" t="s">
        <v>171</v>
      </c>
    </row>
    <row r="3252" spans="1:2" x14ac:dyDescent="0.3">
      <c r="A3252" t="s">
        <v>2638</v>
      </c>
      <c r="B3252" t="s">
        <v>171</v>
      </c>
    </row>
    <row r="3253" spans="1:2" x14ac:dyDescent="0.3">
      <c r="A3253" t="s">
        <v>2639</v>
      </c>
      <c r="B3253" t="s">
        <v>171</v>
      </c>
    </row>
    <row r="3254" spans="1:2" x14ac:dyDescent="0.3">
      <c r="A3254" t="s">
        <v>2640</v>
      </c>
      <c r="B3254" t="s">
        <v>171</v>
      </c>
    </row>
    <row r="3255" spans="1:2" x14ac:dyDescent="0.3">
      <c r="A3255" t="s">
        <v>2641</v>
      </c>
      <c r="B3255" t="s">
        <v>171</v>
      </c>
    </row>
    <row r="3256" spans="1:2" x14ac:dyDescent="0.3">
      <c r="B3256" t="s">
        <v>171</v>
      </c>
    </row>
    <row r="3257" spans="1:2" x14ac:dyDescent="0.3">
      <c r="A3257" t="s">
        <v>199</v>
      </c>
      <c r="B3257" t="s">
        <v>171</v>
      </c>
    </row>
    <row r="3258" spans="1:2" x14ac:dyDescent="0.3">
      <c r="A3258" t="s">
        <v>2642</v>
      </c>
      <c r="B3258" t="s">
        <v>171</v>
      </c>
    </row>
    <row r="3259" spans="1:2" x14ac:dyDescent="0.3">
      <c r="A3259" t="s">
        <v>2643</v>
      </c>
      <c r="B3259" t="s">
        <v>2644</v>
      </c>
    </row>
    <row r="3260" spans="1:2" x14ac:dyDescent="0.3">
      <c r="A3260" t="s">
        <v>2645</v>
      </c>
      <c r="B3260" t="s">
        <v>171</v>
      </c>
    </row>
    <row r="3261" spans="1:2" x14ac:dyDescent="0.3">
      <c r="A3261" t="s">
        <v>2646</v>
      </c>
      <c r="B3261" t="s">
        <v>171</v>
      </c>
    </row>
    <row r="3262" spans="1:2" x14ac:dyDescent="0.3">
      <c r="A3262" t="s">
        <v>2647</v>
      </c>
      <c r="B3262" t="s">
        <v>171</v>
      </c>
    </row>
    <row r="3263" spans="1:2" x14ac:dyDescent="0.3">
      <c r="A3263" t="s">
        <v>2648</v>
      </c>
      <c r="B3263" t="s">
        <v>171</v>
      </c>
    </row>
    <row r="3264" spans="1:2" x14ac:dyDescent="0.3">
      <c r="A3264" t="s">
        <v>2649</v>
      </c>
      <c r="B3264" t="s">
        <v>171</v>
      </c>
    </row>
    <row r="3265" spans="1:2" x14ac:dyDescent="0.3">
      <c r="A3265" t="s">
        <v>2650</v>
      </c>
      <c r="B3265" t="s">
        <v>2651</v>
      </c>
    </row>
    <row r="3266" spans="1:2" x14ac:dyDescent="0.3">
      <c r="A3266" t="s">
        <v>2652</v>
      </c>
      <c r="B3266" t="s">
        <v>171</v>
      </c>
    </row>
    <row r="3267" spans="1:2" x14ac:dyDescent="0.3">
      <c r="A3267" t="s">
        <v>2653</v>
      </c>
      <c r="B3267" t="s">
        <v>171</v>
      </c>
    </row>
    <row r="3268" spans="1:2" x14ac:dyDescent="0.3">
      <c r="A3268" t="s">
        <v>2654</v>
      </c>
      <c r="B3268" t="s">
        <v>171</v>
      </c>
    </row>
    <row r="3269" spans="1:2" x14ac:dyDescent="0.3">
      <c r="A3269" t="s">
        <v>2655</v>
      </c>
      <c r="B3269" t="s">
        <v>171</v>
      </c>
    </row>
    <row r="3270" spans="1:2" x14ac:dyDescent="0.3">
      <c r="A3270" t="s">
        <v>136</v>
      </c>
      <c r="B3270" t="s">
        <v>176</v>
      </c>
    </row>
    <row r="3271" spans="1:2" x14ac:dyDescent="0.3">
      <c r="B3271" t="s">
        <v>176</v>
      </c>
    </row>
    <row r="3272" spans="1:2" x14ac:dyDescent="0.3">
      <c r="A3272" t="s">
        <v>2656</v>
      </c>
      <c r="B3272" t="s">
        <v>176</v>
      </c>
    </row>
    <row r="3273" spans="1:2" x14ac:dyDescent="0.3">
      <c r="A3273" t="s">
        <v>2657</v>
      </c>
      <c r="B3273" t="s">
        <v>176</v>
      </c>
    </row>
    <row r="3274" spans="1:2" x14ac:dyDescent="0.3">
      <c r="A3274" t="s">
        <v>2658</v>
      </c>
      <c r="B3274" t="s">
        <v>176</v>
      </c>
    </row>
    <row r="3275" spans="1:2" x14ac:dyDescent="0.3">
      <c r="A3275" t="s">
        <v>172</v>
      </c>
      <c r="B3275" t="s">
        <v>176</v>
      </c>
    </row>
    <row r="3276" spans="1:2" x14ac:dyDescent="0.3">
      <c r="A3276" t="s">
        <v>2659</v>
      </c>
      <c r="B3276" t="s">
        <v>176</v>
      </c>
    </row>
    <row r="3277" spans="1:2" x14ac:dyDescent="0.3">
      <c r="A3277" t="s">
        <v>2660</v>
      </c>
      <c r="B3277" t="s">
        <v>176</v>
      </c>
    </row>
    <row r="3278" spans="1:2" x14ac:dyDescent="0.3">
      <c r="A3278" t="s">
        <v>2661</v>
      </c>
      <c r="B3278" t="s">
        <v>176</v>
      </c>
    </row>
    <row r="3279" spans="1:2" x14ac:dyDescent="0.3">
      <c r="A3279" t="s">
        <v>2662</v>
      </c>
      <c r="B3279" t="s">
        <v>176</v>
      </c>
    </row>
    <row r="3280" spans="1:2" x14ac:dyDescent="0.3">
      <c r="A3280" t="s">
        <v>2663</v>
      </c>
      <c r="B3280" t="s">
        <v>176</v>
      </c>
    </row>
    <row r="3281" spans="1:2" x14ac:dyDescent="0.3">
      <c r="A3281" t="s">
        <v>2664</v>
      </c>
      <c r="B3281" t="s">
        <v>176</v>
      </c>
    </row>
    <row r="3282" spans="1:2" x14ac:dyDescent="0.3">
      <c r="A3282" t="s">
        <v>2665</v>
      </c>
      <c r="B3282" t="s">
        <v>2666</v>
      </c>
    </row>
    <row r="3283" spans="1:2" x14ac:dyDescent="0.3">
      <c r="A3283" t="s">
        <v>2667</v>
      </c>
      <c r="B3283" t="s">
        <v>176</v>
      </c>
    </row>
    <row r="3284" spans="1:2" x14ac:dyDescent="0.3">
      <c r="A3284" t="s">
        <v>2668</v>
      </c>
      <c r="B3284" t="s">
        <v>176</v>
      </c>
    </row>
    <row r="3285" spans="1:2" x14ac:dyDescent="0.3">
      <c r="A3285" t="s">
        <v>2669</v>
      </c>
      <c r="B3285" t="s">
        <v>2670</v>
      </c>
    </row>
    <row r="3286" spans="1:2" x14ac:dyDescent="0.3">
      <c r="B3286" t="s">
        <v>176</v>
      </c>
    </row>
    <row r="3287" spans="1:2" x14ac:dyDescent="0.3">
      <c r="A3287" t="s">
        <v>2671</v>
      </c>
      <c r="B3287" t="s">
        <v>176</v>
      </c>
    </row>
    <row r="3288" spans="1:2" x14ac:dyDescent="0.3">
      <c r="A3288" t="s">
        <v>2672</v>
      </c>
      <c r="B3288" t="s">
        <v>176</v>
      </c>
    </row>
    <row r="3289" spans="1:2" x14ac:dyDescent="0.3">
      <c r="A3289" t="s">
        <v>2673</v>
      </c>
      <c r="B3289" t="s">
        <v>176</v>
      </c>
    </row>
    <row r="3290" spans="1:2" x14ac:dyDescent="0.3">
      <c r="A3290" t="s">
        <v>2674</v>
      </c>
      <c r="B3290" t="s">
        <v>176</v>
      </c>
    </row>
    <row r="3291" spans="1:2" x14ac:dyDescent="0.3">
      <c r="A3291" t="s">
        <v>2675</v>
      </c>
      <c r="B3291" t="s">
        <v>176</v>
      </c>
    </row>
    <row r="3292" spans="1:2" x14ac:dyDescent="0.3">
      <c r="A3292" t="s">
        <v>2676</v>
      </c>
      <c r="B3292" t="s">
        <v>176</v>
      </c>
    </row>
    <row r="3293" spans="1:2" x14ac:dyDescent="0.3">
      <c r="A3293" t="s">
        <v>2677</v>
      </c>
      <c r="B3293" t="s">
        <v>176</v>
      </c>
    </row>
    <row r="3294" spans="1:2" x14ac:dyDescent="0.3">
      <c r="A3294" t="s">
        <v>2678</v>
      </c>
      <c r="B3294" t="s">
        <v>176</v>
      </c>
    </row>
    <row r="3295" spans="1:2" x14ac:dyDescent="0.3">
      <c r="A3295" t="s">
        <v>2679</v>
      </c>
      <c r="B3295" t="s">
        <v>176</v>
      </c>
    </row>
    <row r="3296" spans="1:2" x14ac:dyDescent="0.3">
      <c r="A3296" t="s">
        <v>2680</v>
      </c>
      <c r="B3296" t="s">
        <v>176</v>
      </c>
    </row>
    <row r="3297" spans="1:2" x14ac:dyDescent="0.3">
      <c r="A3297" t="s">
        <v>2681</v>
      </c>
      <c r="B3297" t="s">
        <v>176</v>
      </c>
    </row>
    <row r="3298" spans="1:2" x14ac:dyDescent="0.3">
      <c r="A3298" t="s">
        <v>2682</v>
      </c>
      <c r="B3298" t="s">
        <v>176</v>
      </c>
    </row>
    <row r="3299" spans="1:2" x14ac:dyDescent="0.3">
      <c r="A3299" t="s">
        <v>2683</v>
      </c>
      <c r="B3299" t="s">
        <v>176</v>
      </c>
    </row>
    <row r="3300" spans="1:2" x14ac:dyDescent="0.3">
      <c r="A3300" t="s">
        <v>2684</v>
      </c>
      <c r="B3300" t="s">
        <v>176</v>
      </c>
    </row>
    <row r="3301" spans="1:2" x14ac:dyDescent="0.3">
      <c r="A3301" t="s">
        <v>2685</v>
      </c>
      <c r="B3301" t="s">
        <v>176</v>
      </c>
    </row>
    <row r="3302" spans="1:2" x14ac:dyDescent="0.3">
      <c r="A3302" t="s">
        <v>2686</v>
      </c>
      <c r="B3302" t="s">
        <v>176</v>
      </c>
    </row>
    <row r="3303" spans="1:2" x14ac:dyDescent="0.3">
      <c r="A3303" t="s">
        <v>2687</v>
      </c>
      <c r="B3303" t="s">
        <v>176</v>
      </c>
    </row>
    <row r="3304" spans="1:2" x14ac:dyDescent="0.3">
      <c r="A3304" t="s">
        <v>2688</v>
      </c>
      <c r="B3304" t="s">
        <v>176</v>
      </c>
    </row>
    <row r="3305" spans="1:2" x14ac:dyDescent="0.3">
      <c r="A3305" t="s">
        <v>2689</v>
      </c>
      <c r="B3305" t="s">
        <v>176</v>
      </c>
    </row>
    <row r="3306" spans="1:2" x14ac:dyDescent="0.3">
      <c r="A3306" t="s">
        <v>2690</v>
      </c>
      <c r="B3306" t="s">
        <v>186</v>
      </c>
    </row>
    <row r="3307" spans="1:2" x14ac:dyDescent="0.3">
      <c r="B3307" t="s">
        <v>176</v>
      </c>
    </row>
    <row r="3308" spans="1:2" x14ac:dyDescent="0.3">
      <c r="A3308" t="s">
        <v>2691</v>
      </c>
      <c r="B3308" t="s">
        <v>176</v>
      </c>
    </row>
    <row r="3309" spans="1:2" x14ac:dyDescent="0.3">
      <c r="A3309" t="s">
        <v>2692</v>
      </c>
      <c r="B3309" t="s">
        <v>176</v>
      </c>
    </row>
    <row r="3310" spans="1:2" x14ac:dyDescent="0.3">
      <c r="A3310" t="s">
        <v>2693</v>
      </c>
      <c r="B3310" t="s">
        <v>201</v>
      </c>
    </row>
    <row r="3311" spans="1:2" x14ac:dyDescent="0.3">
      <c r="A3311" t="s">
        <v>2694</v>
      </c>
      <c r="B3311" t="s">
        <v>201</v>
      </c>
    </row>
    <row r="3312" spans="1:2" x14ac:dyDescent="0.3">
      <c r="A3312" t="s">
        <v>2695</v>
      </c>
      <c r="B3312" t="s">
        <v>174</v>
      </c>
    </row>
    <row r="3313" spans="1:2" x14ac:dyDescent="0.3">
      <c r="A3313" t="s">
        <v>2696</v>
      </c>
      <c r="B3313" t="s">
        <v>164</v>
      </c>
    </row>
    <row r="3314" spans="1:2" x14ac:dyDescent="0.3">
      <c r="A3314" t="s">
        <v>2697</v>
      </c>
      <c r="B3314" t="s">
        <v>1</v>
      </c>
    </row>
    <row r="3315" spans="1:2" x14ac:dyDescent="0.3">
      <c r="A3315" t="s">
        <v>2698</v>
      </c>
      <c r="B3315" t="s">
        <v>1</v>
      </c>
    </row>
    <row r="3316" spans="1:2" x14ac:dyDescent="0.3">
      <c r="A3316" t="s">
        <v>2699</v>
      </c>
      <c r="B3316" t="s">
        <v>1</v>
      </c>
    </row>
    <row r="3317" spans="1:2" x14ac:dyDescent="0.3">
      <c r="A3317" t="s">
        <v>2700</v>
      </c>
      <c r="B3317" t="s">
        <v>1</v>
      </c>
    </row>
    <row r="3318" spans="1:2" x14ac:dyDescent="0.3">
      <c r="A3318" t="s">
        <v>2701</v>
      </c>
      <c r="B3318" t="s">
        <v>1</v>
      </c>
    </row>
    <row r="3319" spans="1:2" x14ac:dyDescent="0.3">
      <c r="A3319" t="s">
        <v>2702</v>
      </c>
      <c r="B3319" t="s">
        <v>1</v>
      </c>
    </row>
    <row r="3320" spans="1:2" x14ac:dyDescent="0.3">
      <c r="A3320" t="s">
        <v>2703</v>
      </c>
      <c r="B3320" t="s">
        <v>1</v>
      </c>
    </row>
    <row r="3321" spans="1:2" x14ac:dyDescent="0.3">
      <c r="A3321" t="s">
        <v>2704</v>
      </c>
      <c r="B3321" t="s">
        <v>1</v>
      </c>
    </row>
    <row r="3322" spans="1:2" x14ac:dyDescent="0.3">
      <c r="A3322" t="s">
        <v>2705</v>
      </c>
      <c r="B3322" t="s">
        <v>1</v>
      </c>
    </row>
    <row r="3323" spans="1:2" x14ac:dyDescent="0.3">
      <c r="A3323" t="s">
        <v>2706</v>
      </c>
      <c r="B3323" t="s">
        <v>1</v>
      </c>
    </row>
    <row r="3324" spans="1:2" x14ac:dyDescent="0.3">
      <c r="A3324" t="s">
        <v>2707</v>
      </c>
      <c r="B3324" t="s">
        <v>1</v>
      </c>
    </row>
    <row r="3325" spans="1:2" x14ac:dyDescent="0.3">
      <c r="A3325" t="s">
        <v>2708</v>
      </c>
      <c r="B3325" t="s">
        <v>1</v>
      </c>
    </row>
    <row r="3326" spans="1:2" x14ac:dyDescent="0.3">
      <c r="A3326" t="s">
        <v>2709</v>
      </c>
      <c r="B3326" t="s">
        <v>1</v>
      </c>
    </row>
    <row r="3327" spans="1:2" x14ac:dyDescent="0.3">
      <c r="A3327" t="s">
        <v>2710</v>
      </c>
      <c r="B3327" t="s">
        <v>1</v>
      </c>
    </row>
    <row r="3328" spans="1:2" x14ac:dyDescent="0.3">
      <c r="A3328" t="s">
        <v>2711</v>
      </c>
      <c r="B3328" t="s">
        <v>1</v>
      </c>
    </row>
    <row r="3329" spans="1:2" x14ac:dyDescent="0.3">
      <c r="A3329" t="s">
        <v>2712</v>
      </c>
      <c r="B3329" t="s">
        <v>1</v>
      </c>
    </row>
    <row r="3330" spans="1:2" x14ac:dyDescent="0.3">
      <c r="A3330" t="s">
        <v>2713</v>
      </c>
      <c r="B3330" t="s">
        <v>1</v>
      </c>
    </row>
    <row r="3331" spans="1:2" x14ac:dyDescent="0.3">
      <c r="A3331" t="s">
        <v>2714</v>
      </c>
      <c r="B3331" t="s">
        <v>1</v>
      </c>
    </row>
    <row r="3332" spans="1:2" x14ac:dyDescent="0.3">
      <c r="A3332" t="s">
        <v>2715</v>
      </c>
      <c r="B3332" t="s">
        <v>1</v>
      </c>
    </row>
    <row r="3333" spans="1:2" x14ac:dyDescent="0.3">
      <c r="A3333" t="s">
        <v>2716</v>
      </c>
      <c r="B3333" t="s">
        <v>1</v>
      </c>
    </row>
    <row r="3334" spans="1:2" x14ac:dyDescent="0.3">
      <c r="A3334" t="s">
        <v>2717</v>
      </c>
      <c r="B3334" t="s">
        <v>1</v>
      </c>
    </row>
    <row r="3335" spans="1:2" x14ac:dyDescent="0.3">
      <c r="A3335" t="s">
        <v>2718</v>
      </c>
      <c r="B3335" t="s">
        <v>1</v>
      </c>
    </row>
    <row r="3336" spans="1:2" x14ac:dyDescent="0.3">
      <c r="A3336" t="s">
        <v>2719</v>
      </c>
      <c r="B3336" t="s">
        <v>1</v>
      </c>
    </row>
    <row r="3337" spans="1:2" x14ac:dyDescent="0.3">
      <c r="A3337" t="s">
        <v>2720</v>
      </c>
      <c r="B3337" t="s">
        <v>1</v>
      </c>
    </row>
    <row r="3338" spans="1:2" x14ac:dyDescent="0.3">
      <c r="A3338" t="s">
        <v>2721</v>
      </c>
      <c r="B3338" t="s">
        <v>1</v>
      </c>
    </row>
    <row r="3339" spans="1:2" x14ac:dyDescent="0.3">
      <c r="A3339" t="s">
        <v>2722</v>
      </c>
      <c r="B3339" t="s">
        <v>1</v>
      </c>
    </row>
    <row r="3340" spans="1:2" x14ac:dyDescent="0.3">
      <c r="A3340" t="s">
        <v>1879</v>
      </c>
      <c r="B3340" t="s">
        <v>1</v>
      </c>
    </row>
    <row r="3341" spans="1:2" x14ac:dyDescent="0.3">
      <c r="A3341" t="s">
        <v>2723</v>
      </c>
      <c r="B3341" t="s">
        <v>1</v>
      </c>
    </row>
    <row r="3342" spans="1:2" x14ac:dyDescent="0.3">
      <c r="A3342" t="s">
        <v>2724</v>
      </c>
      <c r="B3342" t="s">
        <v>1</v>
      </c>
    </row>
    <row r="3343" spans="1:2" x14ac:dyDescent="0.3">
      <c r="A3343" t="s">
        <v>2725</v>
      </c>
      <c r="B3343" t="s">
        <v>1</v>
      </c>
    </row>
    <row r="3344" spans="1:2" x14ac:dyDescent="0.3">
      <c r="A3344" t="s">
        <v>1409</v>
      </c>
      <c r="B3344" t="s">
        <v>1</v>
      </c>
    </row>
    <row r="3345" spans="1:2" x14ac:dyDescent="0.3">
      <c r="A3345" t="s">
        <v>2726</v>
      </c>
      <c r="B3345" t="s">
        <v>1</v>
      </c>
    </row>
    <row r="3346" spans="1:2" x14ac:dyDescent="0.3">
      <c r="A3346" t="s">
        <v>2727</v>
      </c>
      <c r="B3346" t="s">
        <v>1</v>
      </c>
    </row>
    <row r="3347" spans="1:2" x14ac:dyDescent="0.3">
      <c r="A3347" t="s">
        <v>2728</v>
      </c>
      <c r="B3347" t="s">
        <v>1</v>
      </c>
    </row>
    <row r="3348" spans="1:2" x14ac:dyDescent="0.3">
      <c r="A3348" t="s">
        <v>2729</v>
      </c>
      <c r="B3348" t="s">
        <v>1</v>
      </c>
    </row>
    <row r="3349" spans="1:2" x14ac:dyDescent="0.3">
      <c r="A3349" t="s">
        <v>2730</v>
      </c>
      <c r="B3349" t="s">
        <v>1</v>
      </c>
    </row>
    <row r="3350" spans="1:2" x14ac:dyDescent="0.3">
      <c r="A3350" t="s">
        <v>2731</v>
      </c>
      <c r="B3350" t="s">
        <v>1</v>
      </c>
    </row>
    <row r="3351" spans="1:2" x14ac:dyDescent="0.3">
      <c r="A3351" t="s">
        <v>2732</v>
      </c>
      <c r="B3351" t="s">
        <v>1</v>
      </c>
    </row>
    <row r="3352" spans="1:2" x14ac:dyDescent="0.3">
      <c r="A3352" t="s">
        <v>2733</v>
      </c>
      <c r="B3352" t="s">
        <v>1</v>
      </c>
    </row>
    <row r="3353" spans="1:2" x14ac:dyDescent="0.3">
      <c r="A3353" t="s">
        <v>2734</v>
      </c>
      <c r="B3353" t="s">
        <v>1</v>
      </c>
    </row>
    <row r="3354" spans="1:2" x14ac:dyDescent="0.3">
      <c r="A3354" t="s">
        <v>2735</v>
      </c>
      <c r="B3354" t="s">
        <v>1</v>
      </c>
    </row>
    <row r="3355" spans="1:2" x14ac:dyDescent="0.3">
      <c r="A3355" t="s">
        <v>2736</v>
      </c>
      <c r="B3355" t="s">
        <v>1</v>
      </c>
    </row>
    <row r="3356" spans="1:2" x14ac:dyDescent="0.3">
      <c r="A3356" t="s">
        <v>2737</v>
      </c>
      <c r="B3356" t="s">
        <v>1</v>
      </c>
    </row>
    <row r="3357" spans="1:2" x14ac:dyDescent="0.3">
      <c r="A3357" t="s">
        <v>2738</v>
      </c>
      <c r="B3357" t="s">
        <v>1</v>
      </c>
    </row>
    <row r="3358" spans="1:2" x14ac:dyDescent="0.3">
      <c r="A3358" t="s">
        <v>2739</v>
      </c>
      <c r="B3358" t="s">
        <v>1</v>
      </c>
    </row>
    <row r="3359" spans="1:2" x14ac:dyDescent="0.3">
      <c r="A3359" t="s">
        <v>2740</v>
      </c>
      <c r="B3359" t="s">
        <v>1</v>
      </c>
    </row>
    <row r="3360" spans="1:2" x14ac:dyDescent="0.3">
      <c r="A3360" t="s">
        <v>2741</v>
      </c>
      <c r="B3360" t="s">
        <v>1</v>
      </c>
    </row>
    <row r="3361" spans="1:2" x14ac:dyDescent="0.3">
      <c r="A3361" t="s">
        <v>2742</v>
      </c>
      <c r="B3361" t="s">
        <v>1</v>
      </c>
    </row>
    <row r="3362" spans="1:2" x14ac:dyDescent="0.3">
      <c r="A3362" t="s">
        <v>2743</v>
      </c>
      <c r="B3362" t="s">
        <v>1</v>
      </c>
    </row>
    <row r="3363" spans="1:2" x14ac:dyDescent="0.3">
      <c r="A3363" t="s">
        <v>2744</v>
      </c>
      <c r="B3363" t="s">
        <v>1</v>
      </c>
    </row>
    <row r="3364" spans="1:2" x14ac:dyDescent="0.3">
      <c r="A3364" t="s">
        <v>2745</v>
      </c>
      <c r="B3364" t="s">
        <v>1</v>
      </c>
    </row>
    <row r="3365" spans="1:2" x14ac:dyDescent="0.3">
      <c r="A3365" t="s">
        <v>2746</v>
      </c>
      <c r="B3365" t="s">
        <v>1</v>
      </c>
    </row>
    <row r="3366" spans="1:2" x14ac:dyDescent="0.3">
      <c r="A3366" t="s">
        <v>1166</v>
      </c>
      <c r="B3366" t="s">
        <v>1</v>
      </c>
    </row>
    <row r="3367" spans="1:2" x14ac:dyDescent="0.3">
      <c r="A3367" t="s">
        <v>2747</v>
      </c>
      <c r="B3367" t="s">
        <v>1</v>
      </c>
    </row>
    <row r="3368" spans="1:2" x14ac:dyDescent="0.3">
      <c r="A3368" t="s">
        <v>2748</v>
      </c>
      <c r="B3368" t="s">
        <v>1</v>
      </c>
    </row>
    <row r="3369" spans="1:2" x14ac:dyDescent="0.3">
      <c r="A3369" t="s">
        <v>2749</v>
      </c>
      <c r="B3369" t="s">
        <v>1</v>
      </c>
    </row>
    <row r="3370" spans="1:2" x14ac:dyDescent="0.3">
      <c r="A3370" t="s">
        <v>2750</v>
      </c>
      <c r="B3370" t="s">
        <v>1</v>
      </c>
    </row>
    <row r="3371" spans="1:2" x14ac:dyDescent="0.3">
      <c r="A3371" t="s">
        <v>2751</v>
      </c>
      <c r="B3371" t="s">
        <v>1</v>
      </c>
    </row>
    <row r="3372" spans="1:2" x14ac:dyDescent="0.3">
      <c r="A3372" t="s">
        <v>264</v>
      </c>
      <c r="B3372" t="s">
        <v>1</v>
      </c>
    </row>
    <row r="3373" spans="1:2" x14ac:dyDescent="0.3">
      <c r="A3373" t="s">
        <v>2752</v>
      </c>
      <c r="B3373" t="s">
        <v>1</v>
      </c>
    </row>
    <row r="3374" spans="1:2" x14ac:dyDescent="0.3">
      <c r="A3374" t="s">
        <v>2753</v>
      </c>
      <c r="B3374" t="s">
        <v>1</v>
      </c>
    </row>
    <row r="3375" spans="1:2" x14ac:dyDescent="0.3">
      <c r="A3375" t="s">
        <v>2754</v>
      </c>
      <c r="B3375" t="s">
        <v>1</v>
      </c>
    </row>
    <row r="3376" spans="1:2" x14ac:dyDescent="0.3">
      <c r="A3376" t="s">
        <v>2755</v>
      </c>
      <c r="B3376" t="s">
        <v>1</v>
      </c>
    </row>
    <row r="3377" spans="1:2" x14ac:dyDescent="0.3">
      <c r="A3377" t="s">
        <v>2756</v>
      </c>
      <c r="B3377" t="s">
        <v>1</v>
      </c>
    </row>
    <row r="3378" spans="1:2" x14ac:dyDescent="0.3">
      <c r="A3378" t="s">
        <v>2757</v>
      </c>
      <c r="B3378" t="s">
        <v>1</v>
      </c>
    </row>
    <row r="3379" spans="1:2" x14ac:dyDescent="0.3">
      <c r="A3379" t="s">
        <v>2758</v>
      </c>
      <c r="B3379" t="s">
        <v>1</v>
      </c>
    </row>
    <row r="3380" spans="1:2" x14ac:dyDescent="0.3">
      <c r="A3380" t="s">
        <v>2759</v>
      </c>
      <c r="B3380" t="s">
        <v>1</v>
      </c>
    </row>
    <row r="3381" spans="1:2" x14ac:dyDescent="0.3">
      <c r="A3381" t="s">
        <v>2760</v>
      </c>
      <c r="B3381" t="s">
        <v>1</v>
      </c>
    </row>
    <row r="3382" spans="1:2" x14ac:dyDescent="0.3">
      <c r="A3382" t="s">
        <v>2761</v>
      </c>
      <c r="B3382" t="s">
        <v>1</v>
      </c>
    </row>
    <row r="3383" spans="1:2" x14ac:dyDescent="0.3">
      <c r="A3383" t="s">
        <v>2762</v>
      </c>
      <c r="B3383" t="s">
        <v>1</v>
      </c>
    </row>
    <row r="3384" spans="1:2" x14ac:dyDescent="0.3">
      <c r="A3384" t="s">
        <v>2763</v>
      </c>
      <c r="B3384" t="s">
        <v>1</v>
      </c>
    </row>
    <row r="3385" spans="1:2" x14ac:dyDescent="0.3">
      <c r="A3385" t="s">
        <v>2764</v>
      </c>
      <c r="B3385" t="s">
        <v>1</v>
      </c>
    </row>
    <row r="3386" spans="1:2" x14ac:dyDescent="0.3">
      <c r="A3386" t="s">
        <v>2765</v>
      </c>
      <c r="B3386" t="s">
        <v>1</v>
      </c>
    </row>
    <row r="3387" spans="1:2" x14ac:dyDescent="0.3">
      <c r="A3387" t="s">
        <v>206</v>
      </c>
      <c r="B3387" t="s">
        <v>1</v>
      </c>
    </row>
    <row r="3388" spans="1:2" x14ac:dyDescent="0.3">
      <c r="A3388" t="s">
        <v>2766</v>
      </c>
      <c r="B3388" t="s">
        <v>1</v>
      </c>
    </row>
    <row r="3389" spans="1:2" x14ac:dyDescent="0.3">
      <c r="A3389" t="s">
        <v>2767</v>
      </c>
      <c r="B3389" t="s">
        <v>1</v>
      </c>
    </row>
    <row r="3390" spans="1:2" x14ac:dyDescent="0.3">
      <c r="A3390" t="s">
        <v>2768</v>
      </c>
      <c r="B3390" t="s">
        <v>1</v>
      </c>
    </row>
    <row r="3391" spans="1:2" x14ac:dyDescent="0.3">
      <c r="A3391" t="s">
        <v>2769</v>
      </c>
      <c r="B3391" t="s">
        <v>1</v>
      </c>
    </row>
    <row r="3392" spans="1:2" x14ac:dyDescent="0.3">
      <c r="A3392" t="s">
        <v>2770</v>
      </c>
      <c r="B3392" t="s">
        <v>1</v>
      </c>
    </row>
    <row r="3393" spans="1:2" x14ac:dyDescent="0.3">
      <c r="A3393" t="s">
        <v>2771</v>
      </c>
      <c r="B3393" t="s">
        <v>1</v>
      </c>
    </row>
    <row r="3394" spans="1:2" x14ac:dyDescent="0.3">
      <c r="A3394" t="s">
        <v>2772</v>
      </c>
      <c r="B3394" t="s">
        <v>1</v>
      </c>
    </row>
    <row r="3395" spans="1:2" x14ac:dyDescent="0.3">
      <c r="A3395" t="s">
        <v>2773</v>
      </c>
      <c r="B3395" t="s">
        <v>1</v>
      </c>
    </row>
    <row r="3396" spans="1:2" x14ac:dyDescent="0.3">
      <c r="A3396" t="s">
        <v>2774</v>
      </c>
      <c r="B3396" t="s">
        <v>1</v>
      </c>
    </row>
    <row r="3397" spans="1:2" x14ac:dyDescent="0.3">
      <c r="A3397" t="s">
        <v>2775</v>
      </c>
      <c r="B3397" t="s">
        <v>1</v>
      </c>
    </row>
    <row r="3398" spans="1:2" x14ac:dyDescent="0.3">
      <c r="A3398" t="s">
        <v>2776</v>
      </c>
      <c r="B3398" t="s">
        <v>1</v>
      </c>
    </row>
    <row r="3399" spans="1:2" x14ac:dyDescent="0.3">
      <c r="A3399" t="s">
        <v>2777</v>
      </c>
      <c r="B3399" t="s">
        <v>1</v>
      </c>
    </row>
    <row r="3400" spans="1:2" x14ac:dyDescent="0.3">
      <c r="A3400" t="s">
        <v>2778</v>
      </c>
      <c r="B3400" t="s">
        <v>1</v>
      </c>
    </row>
    <row r="3401" spans="1:2" x14ac:dyDescent="0.3">
      <c r="A3401" t="s">
        <v>2779</v>
      </c>
      <c r="B3401" t="s">
        <v>1</v>
      </c>
    </row>
    <row r="3402" spans="1:2" x14ac:dyDescent="0.3">
      <c r="A3402" t="s">
        <v>2780</v>
      </c>
      <c r="B3402" t="s">
        <v>1</v>
      </c>
    </row>
    <row r="3403" spans="1:2" x14ac:dyDescent="0.3">
      <c r="A3403" t="s">
        <v>2781</v>
      </c>
      <c r="B3403" t="s">
        <v>1</v>
      </c>
    </row>
    <row r="3404" spans="1:2" x14ac:dyDescent="0.3">
      <c r="A3404" t="s">
        <v>2782</v>
      </c>
      <c r="B3404" t="s">
        <v>1</v>
      </c>
    </row>
    <row r="3405" spans="1:2" x14ac:dyDescent="0.3">
      <c r="A3405" t="s">
        <v>2783</v>
      </c>
      <c r="B3405" t="s">
        <v>1</v>
      </c>
    </row>
    <row r="3406" spans="1:2" x14ac:dyDescent="0.3">
      <c r="A3406" t="s">
        <v>2784</v>
      </c>
      <c r="B3406" t="s">
        <v>1</v>
      </c>
    </row>
    <row r="3407" spans="1:2" x14ac:dyDescent="0.3">
      <c r="A3407" t="s">
        <v>2785</v>
      </c>
      <c r="B3407" t="s">
        <v>1</v>
      </c>
    </row>
    <row r="3408" spans="1:2" x14ac:dyDescent="0.3">
      <c r="A3408" t="s">
        <v>2786</v>
      </c>
      <c r="B3408" t="s">
        <v>1</v>
      </c>
    </row>
    <row r="3409" spans="1:2" x14ac:dyDescent="0.3">
      <c r="A3409" t="s">
        <v>2787</v>
      </c>
      <c r="B3409" t="s">
        <v>1</v>
      </c>
    </row>
    <row r="3410" spans="1:2" x14ac:dyDescent="0.3">
      <c r="A3410" t="s">
        <v>2788</v>
      </c>
      <c r="B3410" t="s">
        <v>1</v>
      </c>
    </row>
    <row r="3411" spans="1:2" x14ac:dyDescent="0.3">
      <c r="A3411" t="s">
        <v>2789</v>
      </c>
      <c r="B3411" t="s">
        <v>1</v>
      </c>
    </row>
    <row r="3412" spans="1:2" x14ac:dyDescent="0.3">
      <c r="A3412" t="s">
        <v>2790</v>
      </c>
      <c r="B3412" t="s">
        <v>1</v>
      </c>
    </row>
    <row r="3413" spans="1:2" x14ac:dyDescent="0.3">
      <c r="A3413" t="s">
        <v>2791</v>
      </c>
      <c r="B3413" t="s">
        <v>1</v>
      </c>
    </row>
    <row r="3414" spans="1:2" x14ac:dyDescent="0.3">
      <c r="A3414" t="s">
        <v>2792</v>
      </c>
      <c r="B3414" t="s">
        <v>1</v>
      </c>
    </row>
    <row r="3415" spans="1:2" x14ac:dyDescent="0.3">
      <c r="A3415" t="s">
        <v>2793</v>
      </c>
      <c r="B3415" t="s">
        <v>1</v>
      </c>
    </row>
    <row r="3416" spans="1:2" x14ac:dyDescent="0.3">
      <c r="A3416" t="s">
        <v>2794</v>
      </c>
      <c r="B3416" t="s">
        <v>1</v>
      </c>
    </row>
    <row r="3417" spans="1:2" x14ac:dyDescent="0.3">
      <c r="A3417" t="s">
        <v>2795</v>
      </c>
      <c r="B3417" t="s">
        <v>1</v>
      </c>
    </row>
    <row r="3418" spans="1:2" x14ac:dyDescent="0.3">
      <c r="A3418" t="s">
        <v>2796</v>
      </c>
      <c r="B3418" t="s">
        <v>1</v>
      </c>
    </row>
    <row r="3419" spans="1:2" x14ac:dyDescent="0.3">
      <c r="A3419" t="s">
        <v>2797</v>
      </c>
      <c r="B3419" t="s">
        <v>1</v>
      </c>
    </row>
    <row r="3420" spans="1:2" x14ac:dyDescent="0.3">
      <c r="A3420" t="s">
        <v>2798</v>
      </c>
      <c r="B3420" t="s">
        <v>1</v>
      </c>
    </row>
    <row r="3421" spans="1:2" x14ac:dyDescent="0.3">
      <c r="A3421" t="s">
        <v>2799</v>
      </c>
      <c r="B3421" t="s">
        <v>1</v>
      </c>
    </row>
    <row r="3422" spans="1:2" x14ac:dyDescent="0.3">
      <c r="A3422" t="s">
        <v>2800</v>
      </c>
      <c r="B3422" t="s">
        <v>1</v>
      </c>
    </row>
    <row r="3423" spans="1:2" x14ac:dyDescent="0.3">
      <c r="A3423" t="s">
        <v>108</v>
      </c>
      <c r="B3423" t="s">
        <v>1</v>
      </c>
    </row>
    <row r="3424" spans="1:2" x14ac:dyDescent="0.3">
      <c r="A3424" t="s">
        <v>2801</v>
      </c>
      <c r="B3424" t="s">
        <v>1</v>
      </c>
    </row>
    <row r="3425" spans="1:2" x14ac:dyDescent="0.3">
      <c r="A3425" t="s">
        <v>2802</v>
      </c>
      <c r="B3425" t="s">
        <v>1</v>
      </c>
    </row>
    <row r="3426" spans="1:2" x14ac:dyDescent="0.3">
      <c r="A3426" t="s">
        <v>2803</v>
      </c>
      <c r="B3426" t="s">
        <v>1</v>
      </c>
    </row>
    <row r="3427" spans="1:2" x14ac:dyDescent="0.3">
      <c r="A3427" t="s">
        <v>2804</v>
      </c>
      <c r="B3427" t="s">
        <v>1</v>
      </c>
    </row>
    <row r="3428" spans="1:2" x14ac:dyDescent="0.3">
      <c r="A3428" t="s">
        <v>2805</v>
      </c>
      <c r="B3428" t="s">
        <v>1</v>
      </c>
    </row>
    <row r="3429" spans="1:2" x14ac:dyDescent="0.3">
      <c r="A3429" t="s">
        <v>2806</v>
      </c>
      <c r="B3429" t="s">
        <v>1</v>
      </c>
    </row>
    <row r="3430" spans="1:2" x14ac:dyDescent="0.3">
      <c r="A3430" t="s">
        <v>2807</v>
      </c>
      <c r="B3430" t="s">
        <v>1</v>
      </c>
    </row>
    <row r="3431" spans="1:2" x14ac:dyDescent="0.3">
      <c r="A3431" t="s">
        <v>2808</v>
      </c>
      <c r="B3431" t="s">
        <v>1</v>
      </c>
    </row>
    <row r="3432" spans="1:2" x14ac:dyDescent="0.3">
      <c r="A3432" t="s">
        <v>2809</v>
      </c>
      <c r="B3432" t="s">
        <v>1</v>
      </c>
    </row>
    <row r="3433" spans="1:2" x14ac:dyDescent="0.3">
      <c r="A3433" t="s">
        <v>2810</v>
      </c>
      <c r="B3433" t="s">
        <v>1</v>
      </c>
    </row>
    <row r="3434" spans="1:2" x14ac:dyDescent="0.3">
      <c r="A3434" t="s">
        <v>2811</v>
      </c>
      <c r="B3434" t="s">
        <v>1</v>
      </c>
    </row>
    <row r="3435" spans="1:2" x14ac:dyDescent="0.3">
      <c r="A3435" t="s">
        <v>2812</v>
      </c>
      <c r="B3435" t="s">
        <v>1</v>
      </c>
    </row>
    <row r="3436" spans="1:2" x14ac:dyDescent="0.3">
      <c r="A3436" t="s">
        <v>2813</v>
      </c>
      <c r="B3436" t="s">
        <v>1</v>
      </c>
    </row>
    <row r="3437" spans="1:2" x14ac:dyDescent="0.3">
      <c r="A3437" t="s">
        <v>2814</v>
      </c>
      <c r="B3437" t="s">
        <v>1</v>
      </c>
    </row>
    <row r="3438" spans="1:2" x14ac:dyDescent="0.3">
      <c r="A3438" t="s">
        <v>2815</v>
      </c>
      <c r="B3438" t="s">
        <v>1</v>
      </c>
    </row>
    <row r="3439" spans="1:2" x14ac:dyDescent="0.3">
      <c r="A3439" t="s">
        <v>2816</v>
      </c>
      <c r="B3439" t="s">
        <v>1</v>
      </c>
    </row>
    <row r="3440" spans="1:2" x14ac:dyDescent="0.3">
      <c r="A3440" t="s">
        <v>2817</v>
      </c>
      <c r="B3440" t="s">
        <v>1</v>
      </c>
    </row>
    <row r="3441" spans="1:2" x14ac:dyDescent="0.3">
      <c r="A3441" t="s">
        <v>2818</v>
      </c>
      <c r="B3441" t="s">
        <v>1</v>
      </c>
    </row>
    <row r="3442" spans="1:2" x14ac:dyDescent="0.3">
      <c r="A3442" t="s">
        <v>2819</v>
      </c>
      <c r="B3442" t="s">
        <v>1</v>
      </c>
    </row>
    <row r="3443" spans="1:2" x14ac:dyDescent="0.3">
      <c r="A3443" t="s">
        <v>2820</v>
      </c>
      <c r="B3443" t="s">
        <v>1</v>
      </c>
    </row>
    <row r="3444" spans="1:2" x14ac:dyDescent="0.3">
      <c r="A3444" t="s">
        <v>132</v>
      </c>
      <c r="B3444" t="s">
        <v>1</v>
      </c>
    </row>
    <row r="3445" spans="1:2" x14ac:dyDescent="0.3">
      <c r="A3445" t="s">
        <v>2821</v>
      </c>
      <c r="B3445" t="s">
        <v>1</v>
      </c>
    </row>
    <row r="3446" spans="1:2" x14ac:dyDescent="0.3">
      <c r="A3446" t="s">
        <v>2822</v>
      </c>
      <c r="B3446" t="s">
        <v>1</v>
      </c>
    </row>
    <row r="3447" spans="1:2" x14ac:dyDescent="0.3">
      <c r="A3447" t="s">
        <v>2823</v>
      </c>
      <c r="B3447" t="s">
        <v>1</v>
      </c>
    </row>
    <row r="3448" spans="1:2" x14ac:dyDescent="0.3">
      <c r="A3448" t="s">
        <v>2824</v>
      </c>
      <c r="B3448" t="s">
        <v>1</v>
      </c>
    </row>
    <row r="3449" spans="1:2" x14ac:dyDescent="0.3">
      <c r="A3449" t="s">
        <v>2825</v>
      </c>
      <c r="B3449" t="s">
        <v>1</v>
      </c>
    </row>
    <row r="3450" spans="1:2" x14ac:dyDescent="0.3">
      <c r="A3450" t="s">
        <v>2826</v>
      </c>
      <c r="B3450" t="s">
        <v>1</v>
      </c>
    </row>
    <row r="3451" spans="1:2" x14ac:dyDescent="0.3">
      <c r="A3451" t="s">
        <v>71</v>
      </c>
      <c r="B3451" t="s">
        <v>1</v>
      </c>
    </row>
    <row r="3452" spans="1:2" x14ac:dyDescent="0.3">
      <c r="A3452" t="s">
        <v>2827</v>
      </c>
      <c r="B3452" t="s">
        <v>1</v>
      </c>
    </row>
    <row r="3453" spans="1:2" x14ac:dyDescent="0.3">
      <c r="A3453" t="s">
        <v>2828</v>
      </c>
      <c r="B3453" t="s">
        <v>1</v>
      </c>
    </row>
    <row r="3454" spans="1:2" x14ac:dyDescent="0.3">
      <c r="A3454" t="s">
        <v>1426</v>
      </c>
      <c r="B3454" t="s">
        <v>1</v>
      </c>
    </row>
    <row r="3455" spans="1:2" x14ac:dyDescent="0.3">
      <c r="A3455" t="s">
        <v>2829</v>
      </c>
      <c r="B3455" t="s">
        <v>1</v>
      </c>
    </row>
    <row r="3456" spans="1:2" x14ac:dyDescent="0.3">
      <c r="A3456" t="s">
        <v>2830</v>
      </c>
      <c r="B3456" t="s">
        <v>1</v>
      </c>
    </row>
    <row r="3457" spans="1:2" x14ac:dyDescent="0.3">
      <c r="A3457" t="s">
        <v>2831</v>
      </c>
      <c r="B3457" t="s">
        <v>1</v>
      </c>
    </row>
    <row r="3458" spans="1:2" x14ac:dyDescent="0.3">
      <c r="A3458" t="s">
        <v>2832</v>
      </c>
      <c r="B3458" t="s">
        <v>1</v>
      </c>
    </row>
    <row r="3459" spans="1:2" x14ac:dyDescent="0.3">
      <c r="A3459" t="s">
        <v>2833</v>
      </c>
      <c r="B3459" t="s">
        <v>1</v>
      </c>
    </row>
    <row r="3460" spans="1:2" x14ac:dyDescent="0.3">
      <c r="A3460" t="s">
        <v>2834</v>
      </c>
      <c r="B3460" t="s">
        <v>1</v>
      </c>
    </row>
    <row r="3461" spans="1:2" x14ac:dyDescent="0.3">
      <c r="A3461" t="s">
        <v>2835</v>
      </c>
      <c r="B3461" t="s">
        <v>1</v>
      </c>
    </row>
    <row r="3462" spans="1:2" x14ac:dyDescent="0.3">
      <c r="A3462" t="s">
        <v>2836</v>
      </c>
      <c r="B3462" t="s">
        <v>1</v>
      </c>
    </row>
    <row r="3463" spans="1:2" x14ac:dyDescent="0.3">
      <c r="A3463" t="s">
        <v>2837</v>
      </c>
      <c r="B3463" t="s">
        <v>1</v>
      </c>
    </row>
    <row r="3464" spans="1:2" x14ac:dyDescent="0.3">
      <c r="A3464" t="s">
        <v>2838</v>
      </c>
      <c r="B3464" t="s">
        <v>1</v>
      </c>
    </row>
    <row r="3465" spans="1:2" x14ac:dyDescent="0.3">
      <c r="A3465" t="s">
        <v>2285</v>
      </c>
      <c r="B3465" t="s">
        <v>1</v>
      </c>
    </row>
    <row r="3466" spans="1:2" x14ac:dyDescent="0.3">
      <c r="A3466" t="s">
        <v>2839</v>
      </c>
      <c r="B3466" t="s">
        <v>1</v>
      </c>
    </row>
    <row r="3467" spans="1:2" x14ac:dyDescent="0.3">
      <c r="A3467" t="s">
        <v>2840</v>
      </c>
      <c r="B3467" t="s">
        <v>1</v>
      </c>
    </row>
    <row r="3468" spans="1:2" x14ac:dyDescent="0.3">
      <c r="A3468" t="s">
        <v>2841</v>
      </c>
      <c r="B3468" t="s">
        <v>1</v>
      </c>
    </row>
    <row r="3469" spans="1:2" x14ac:dyDescent="0.3">
      <c r="A3469" t="s">
        <v>2842</v>
      </c>
      <c r="B3469" t="s">
        <v>1</v>
      </c>
    </row>
    <row r="3470" spans="1:2" x14ac:dyDescent="0.3">
      <c r="A3470" t="s">
        <v>2843</v>
      </c>
      <c r="B3470" t="s">
        <v>1</v>
      </c>
    </row>
    <row r="3471" spans="1:2" x14ac:dyDescent="0.3">
      <c r="A3471" t="s">
        <v>2844</v>
      </c>
      <c r="B3471" t="s">
        <v>1</v>
      </c>
    </row>
    <row r="3472" spans="1:2" x14ac:dyDescent="0.3">
      <c r="A3472" t="s">
        <v>2845</v>
      </c>
      <c r="B3472" t="s">
        <v>1</v>
      </c>
    </row>
    <row r="3473" spans="1:2" x14ac:dyDescent="0.3">
      <c r="A3473" t="s">
        <v>2846</v>
      </c>
      <c r="B3473" t="s">
        <v>1</v>
      </c>
    </row>
    <row r="3474" spans="1:2" x14ac:dyDescent="0.3">
      <c r="A3474" t="s">
        <v>2847</v>
      </c>
      <c r="B3474" t="s">
        <v>1</v>
      </c>
    </row>
    <row r="3475" spans="1:2" x14ac:dyDescent="0.3">
      <c r="A3475" t="s">
        <v>2848</v>
      </c>
      <c r="B3475" t="s">
        <v>1</v>
      </c>
    </row>
    <row r="3476" spans="1:2" x14ac:dyDescent="0.3">
      <c r="A3476" t="s">
        <v>2849</v>
      </c>
      <c r="B3476" t="s">
        <v>1</v>
      </c>
    </row>
    <row r="3477" spans="1:2" x14ac:dyDescent="0.3">
      <c r="A3477" t="s">
        <v>2850</v>
      </c>
      <c r="B3477" t="s">
        <v>1</v>
      </c>
    </row>
    <row r="3478" spans="1:2" x14ac:dyDescent="0.3">
      <c r="A3478" t="s">
        <v>2851</v>
      </c>
      <c r="B3478" t="s">
        <v>1</v>
      </c>
    </row>
    <row r="3479" spans="1:2" x14ac:dyDescent="0.3">
      <c r="A3479" t="s">
        <v>2852</v>
      </c>
      <c r="B3479" t="s">
        <v>1</v>
      </c>
    </row>
    <row r="3480" spans="1:2" x14ac:dyDescent="0.3">
      <c r="A3480" t="s">
        <v>2853</v>
      </c>
      <c r="B3480" t="s">
        <v>1</v>
      </c>
    </row>
    <row r="3481" spans="1:2" x14ac:dyDescent="0.3">
      <c r="A3481" t="s">
        <v>2854</v>
      </c>
      <c r="B3481" t="s">
        <v>1</v>
      </c>
    </row>
    <row r="3482" spans="1:2" x14ac:dyDescent="0.3">
      <c r="A3482" t="s">
        <v>2855</v>
      </c>
      <c r="B3482" t="s">
        <v>1</v>
      </c>
    </row>
    <row r="3483" spans="1:2" x14ac:dyDescent="0.3">
      <c r="A3483" t="s">
        <v>2856</v>
      </c>
      <c r="B3483" t="s">
        <v>1</v>
      </c>
    </row>
    <row r="3484" spans="1:2" x14ac:dyDescent="0.3">
      <c r="A3484" t="s">
        <v>2857</v>
      </c>
      <c r="B3484" t="s">
        <v>1</v>
      </c>
    </row>
    <row r="3485" spans="1:2" x14ac:dyDescent="0.3">
      <c r="A3485" t="s">
        <v>2858</v>
      </c>
      <c r="B3485" t="s">
        <v>1</v>
      </c>
    </row>
    <row r="3486" spans="1:2" x14ac:dyDescent="0.3">
      <c r="A3486" t="s">
        <v>2859</v>
      </c>
      <c r="B3486" t="s">
        <v>1</v>
      </c>
    </row>
    <row r="3487" spans="1:2" x14ac:dyDescent="0.3">
      <c r="A3487" t="s">
        <v>2860</v>
      </c>
      <c r="B3487" t="s">
        <v>1</v>
      </c>
    </row>
    <row r="3488" spans="1:2" x14ac:dyDescent="0.3">
      <c r="A3488" t="s">
        <v>178</v>
      </c>
      <c r="B3488" t="s">
        <v>1</v>
      </c>
    </row>
    <row r="3489" spans="1:2" x14ac:dyDescent="0.3">
      <c r="A3489" t="s">
        <v>2861</v>
      </c>
      <c r="B3489" t="s">
        <v>1</v>
      </c>
    </row>
    <row r="3490" spans="1:2" x14ac:dyDescent="0.3">
      <c r="A3490" t="s">
        <v>2862</v>
      </c>
      <c r="B3490" t="s">
        <v>1</v>
      </c>
    </row>
    <row r="3491" spans="1:2" x14ac:dyDescent="0.3">
      <c r="A3491" t="s">
        <v>2863</v>
      </c>
      <c r="B3491" t="s">
        <v>1</v>
      </c>
    </row>
    <row r="3492" spans="1:2" x14ac:dyDescent="0.3">
      <c r="A3492" t="s">
        <v>2864</v>
      </c>
      <c r="B3492" t="s">
        <v>1</v>
      </c>
    </row>
    <row r="3493" spans="1:2" x14ac:dyDescent="0.3">
      <c r="A3493" t="s">
        <v>2865</v>
      </c>
      <c r="B3493" t="s">
        <v>1</v>
      </c>
    </row>
    <row r="3494" spans="1:2" x14ac:dyDescent="0.3">
      <c r="A3494" t="s">
        <v>2866</v>
      </c>
      <c r="B3494" t="s">
        <v>1</v>
      </c>
    </row>
    <row r="3495" spans="1:2" x14ac:dyDescent="0.3">
      <c r="A3495" t="s">
        <v>2867</v>
      </c>
      <c r="B3495" t="s">
        <v>1</v>
      </c>
    </row>
    <row r="3496" spans="1:2" x14ac:dyDescent="0.3">
      <c r="A3496" t="s">
        <v>2868</v>
      </c>
      <c r="B3496" t="s">
        <v>1</v>
      </c>
    </row>
    <row r="3497" spans="1:2" x14ac:dyDescent="0.3">
      <c r="A3497" t="s">
        <v>2869</v>
      </c>
      <c r="B3497" t="s">
        <v>1</v>
      </c>
    </row>
    <row r="3498" spans="1:2" x14ac:dyDescent="0.3">
      <c r="A3498" t="s">
        <v>2870</v>
      </c>
      <c r="B3498" t="s">
        <v>1</v>
      </c>
    </row>
    <row r="3499" spans="1:2" x14ac:dyDescent="0.3">
      <c r="A3499" t="s">
        <v>2871</v>
      </c>
      <c r="B3499" t="s">
        <v>1</v>
      </c>
    </row>
    <row r="3500" spans="1:2" x14ac:dyDescent="0.3">
      <c r="A3500" t="s">
        <v>2872</v>
      </c>
      <c r="B3500" t="s">
        <v>1</v>
      </c>
    </row>
    <row r="3501" spans="1:2" x14ac:dyDescent="0.3">
      <c r="A3501" t="s">
        <v>2873</v>
      </c>
      <c r="B3501" t="s">
        <v>1</v>
      </c>
    </row>
    <row r="3502" spans="1:2" x14ac:dyDescent="0.3">
      <c r="A3502" t="s">
        <v>2874</v>
      </c>
      <c r="B3502" t="s">
        <v>1</v>
      </c>
    </row>
    <row r="3503" spans="1:2" x14ac:dyDescent="0.3">
      <c r="A3503" t="s">
        <v>2875</v>
      </c>
      <c r="B3503" t="s">
        <v>1</v>
      </c>
    </row>
    <row r="3504" spans="1:2" x14ac:dyDescent="0.3">
      <c r="A3504" t="s">
        <v>2876</v>
      </c>
      <c r="B3504" t="s">
        <v>1</v>
      </c>
    </row>
    <row r="3505" spans="1:2" x14ac:dyDescent="0.3">
      <c r="A3505" t="s">
        <v>2877</v>
      </c>
      <c r="B3505" t="s">
        <v>1</v>
      </c>
    </row>
    <row r="3506" spans="1:2" x14ac:dyDescent="0.3">
      <c r="A3506" t="s">
        <v>2878</v>
      </c>
      <c r="B3506" t="s">
        <v>1</v>
      </c>
    </row>
    <row r="3507" spans="1:2" x14ac:dyDescent="0.3">
      <c r="A3507" t="s">
        <v>2879</v>
      </c>
      <c r="B3507" t="s">
        <v>1</v>
      </c>
    </row>
    <row r="3508" spans="1:2" x14ac:dyDescent="0.3">
      <c r="A3508" t="s">
        <v>2880</v>
      </c>
      <c r="B3508" t="s">
        <v>1</v>
      </c>
    </row>
    <row r="3509" spans="1:2" x14ac:dyDescent="0.3">
      <c r="A3509" t="s">
        <v>2881</v>
      </c>
      <c r="B3509" t="s">
        <v>1</v>
      </c>
    </row>
    <row r="3510" spans="1:2" x14ac:dyDescent="0.3">
      <c r="B3510" t="s">
        <v>1</v>
      </c>
    </row>
    <row r="3511" spans="1:2" x14ac:dyDescent="0.3">
      <c r="A3511" t="s">
        <v>2882</v>
      </c>
      <c r="B3511" t="s">
        <v>1</v>
      </c>
    </row>
    <row r="3512" spans="1:2" x14ac:dyDescent="0.3">
      <c r="A3512" t="s">
        <v>2883</v>
      </c>
      <c r="B3512" t="s">
        <v>1</v>
      </c>
    </row>
    <row r="3513" spans="1:2" x14ac:dyDescent="0.3">
      <c r="A3513" t="s">
        <v>2884</v>
      </c>
      <c r="B3513" t="s">
        <v>1</v>
      </c>
    </row>
    <row r="3514" spans="1:2" x14ac:dyDescent="0.3">
      <c r="A3514" t="s">
        <v>2885</v>
      </c>
      <c r="B3514" t="s">
        <v>1</v>
      </c>
    </row>
    <row r="3515" spans="1:2" x14ac:dyDescent="0.3">
      <c r="A3515" t="s">
        <v>2886</v>
      </c>
      <c r="B3515" t="s">
        <v>1</v>
      </c>
    </row>
    <row r="3516" spans="1:2" x14ac:dyDescent="0.3">
      <c r="A3516" t="s">
        <v>2887</v>
      </c>
      <c r="B3516" t="s">
        <v>1</v>
      </c>
    </row>
    <row r="3517" spans="1:2" x14ac:dyDescent="0.3">
      <c r="A3517" t="s">
        <v>2888</v>
      </c>
      <c r="B3517" t="s">
        <v>1</v>
      </c>
    </row>
    <row r="3518" spans="1:2" x14ac:dyDescent="0.3">
      <c r="A3518" t="s">
        <v>2889</v>
      </c>
      <c r="B3518" t="s">
        <v>1</v>
      </c>
    </row>
    <row r="3519" spans="1:2" x14ac:dyDescent="0.3">
      <c r="A3519" t="s">
        <v>2890</v>
      </c>
      <c r="B3519" t="s">
        <v>1</v>
      </c>
    </row>
    <row r="3520" spans="1:2" x14ac:dyDescent="0.3">
      <c r="A3520" t="s">
        <v>2891</v>
      </c>
      <c r="B3520" t="s">
        <v>1</v>
      </c>
    </row>
    <row r="3521" spans="1:2" x14ac:dyDescent="0.3">
      <c r="A3521" t="s">
        <v>2892</v>
      </c>
      <c r="B3521" t="s">
        <v>1</v>
      </c>
    </row>
    <row r="3522" spans="1:2" x14ac:dyDescent="0.3">
      <c r="A3522" t="s">
        <v>2893</v>
      </c>
      <c r="B3522" t="s">
        <v>1</v>
      </c>
    </row>
    <row r="3523" spans="1:2" x14ac:dyDescent="0.3">
      <c r="A3523" t="s">
        <v>2894</v>
      </c>
      <c r="B3523" t="s">
        <v>1</v>
      </c>
    </row>
    <row r="3524" spans="1:2" x14ac:dyDescent="0.3">
      <c r="A3524" t="s">
        <v>133</v>
      </c>
      <c r="B3524" t="s">
        <v>1</v>
      </c>
    </row>
    <row r="3525" spans="1:2" x14ac:dyDescent="0.3">
      <c r="A3525" t="s">
        <v>2895</v>
      </c>
      <c r="B3525" t="s">
        <v>1</v>
      </c>
    </row>
    <row r="3526" spans="1:2" x14ac:dyDescent="0.3">
      <c r="A3526" t="s">
        <v>2896</v>
      </c>
      <c r="B3526" t="s">
        <v>1</v>
      </c>
    </row>
    <row r="3527" spans="1:2" x14ac:dyDescent="0.3">
      <c r="A3527" t="s">
        <v>2897</v>
      </c>
      <c r="B3527" t="s">
        <v>1</v>
      </c>
    </row>
    <row r="3528" spans="1:2" x14ac:dyDescent="0.3">
      <c r="A3528" t="s">
        <v>2898</v>
      </c>
      <c r="B3528" t="s">
        <v>1</v>
      </c>
    </row>
    <row r="3529" spans="1:2" x14ac:dyDescent="0.3">
      <c r="A3529" t="s">
        <v>2899</v>
      </c>
      <c r="B3529" t="s">
        <v>1</v>
      </c>
    </row>
    <row r="3530" spans="1:2" x14ac:dyDescent="0.3">
      <c r="A3530" t="s">
        <v>2900</v>
      </c>
      <c r="B3530" t="s">
        <v>1</v>
      </c>
    </row>
    <row r="3531" spans="1:2" x14ac:dyDescent="0.3">
      <c r="A3531" t="s">
        <v>2901</v>
      </c>
      <c r="B3531" t="s">
        <v>1</v>
      </c>
    </row>
    <row r="3532" spans="1:2" x14ac:dyDescent="0.3">
      <c r="A3532" t="s">
        <v>2902</v>
      </c>
      <c r="B3532" t="s">
        <v>1</v>
      </c>
    </row>
    <row r="3533" spans="1:2" x14ac:dyDescent="0.3">
      <c r="A3533" t="s">
        <v>2903</v>
      </c>
      <c r="B3533" t="s">
        <v>1</v>
      </c>
    </row>
    <row r="3534" spans="1:2" x14ac:dyDescent="0.3">
      <c r="A3534" t="s">
        <v>2904</v>
      </c>
      <c r="B3534" t="s">
        <v>1</v>
      </c>
    </row>
    <row r="3535" spans="1:2" x14ac:dyDescent="0.3">
      <c r="B3535" t="s">
        <v>1</v>
      </c>
    </row>
    <row r="3536" spans="1:2" x14ac:dyDescent="0.3">
      <c r="A3536" t="s">
        <v>2905</v>
      </c>
      <c r="B3536" t="s">
        <v>1</v>
      </c>
    </row>
    <row r="3537" spans="1:2" x14ac:dyDescent="0.3">
      <c r="A3537" t="s">
        <v>2906</v>
      </c>
      <c r="B3537" t="s">
        <v>1</v>
      </c>
    </row>
    <row r="3538" spans="1:2" x14ac:dyDescent="0.3">
      <c r="A3538" t="s">
        <v>2907</v>
      </c>
      <c r="B3538" t="s">
        <v>1</v>
      </c>
    </row>
    <row r="3539" spans="1:2" x14ac:dyDescent="0.3">
      <c r="A3539" t="s">
        <v>2908</v>
      </c>
      <c r="B3539" t="s">
        <v>1</v>
      </c>
    </row>
    <row r="3540" spans="1:2" x14ac:dyDescent="0.3">
      <c r="A3540" t="s">
        <v>2909</v>
      </c>
      <c r="B3540" t="s">
        <v>1</v>
      </c>
    </row>
    <row r="3541" spans="1:2" x14ac:dyDescent="0.3">
      <c r="A3541" t="s">
        <v>2910</v>
      </c>
      <c r="B3541" t="s">
        <v>1</v>
      </c>
    </row>
    <row r="3542" spans="1:2" x14ac:dyDescent="0.3">
      <c r="A3542" t="s">
        <v>2911</v>
      </c>
      <c r="B3542" t="s">
        <v>1</v>
      </c>
    </row>
    <row r="3543" spans="1:2" x14ac:dyDescent="0.3">
      <c r="A3543" t="s">
        <v>2912</v>
      </c>
      <c r="B3543" t="s">
        <v>1</v>
      </c>
    </row>
    <row r="3544" spans="1:2" x14ac:dyDescent="0.3">
      <c r="A3544" t="s">
        <v>2913</v>
      </c>
      <c r="B3544" t="s">
        <v>1</v>
      </c>
    </row>
    <row r="3545" spans="1:2" x14ac:dyDescent="0.3">
      <c r="A3545" t="s">
        <v>2914</v>
      </c>
      <c r="B3545" t="s">
        <v>1</v>
      </c>
    </row>
    <row r="3546" spans="1:2" x14ac:dyDescent="0.3">
      <c r="A3546" t="s">
        <v>2915</v>
      </c>
      <c r="B3546" t="s">
        <v>1</v>
      </c>
    </row>
    <row r="3547" spans="1:2" x14ac:dyDescent="0.3">
      <c r="A3547" t="s">
        <v>2916</v>
      </c>
      <c r="B3547" t="s">
        <v>1</v>
      </c>
    </row>
    <row r="3548" spans="1:2" x14ac:dyDescent="0.3">
      <c r="A3548" t="s">
        <v>2917</v>
      </c>
      <c r="B3548" t="s">
        <v>1</v>
      </c>
    </row>
    <row r="3549" spans="1:2" x14ac:dyDescent="0.3">
      <c r="A3549" t="s">
        <v>2918</v>
      </c>
      <c r="B3549" t="s">
        <v>1</v>
      </c>
    </row>
    <row r="3550" spans="1:2" x14ac:dyDescent="0.3">
      <c r="A3550" t="s">
        <v>2919</v>
      </c>
      <c r="B3550" t="s">
        <v>1</v>
      </c>
    </row>
    <row r="3551" spans="1:2" x14ac:dyDescent="0.3">
      <c r="A3551" t="s">
        <v>2920</v>
      </c>
      <c r="B3551" t="s">
        <v>1</v>
      </c>
    </row>
    <row r="3552" spans="1:2" x14ac:dyDescent="0.3">
      <c r="A3552" t="s">
        <v>2921</v>
      </c>
      <c r="B3552" t="s">
        <v>1</v>
      </c>
    </row>
    <row r="3553" spans="1:2" x14ac:dyDescent="0.3">
      <c r="A3553" t="s">
        <v>2922</v>
      </c>
      <c r="B3553" t="s">
        <v>1</v>
      </c>
    </row>
    <row r="3554" spans="1:2" x14ac:dyDescent="0.3">
      <c r="A3554" t="s">
        <v>2923</v>
      </c>
      <c r="B3554" t="s">
        <v>1</v>
      </c>
    </row>
    <row r="3555" spans="1:2" x14ac:dyDescent="0.3">
      <c r="A3555" t="s">
        <v>2924</v>
      </c>
      <c r="B3555" t="s">
        <v>1</v>
      </c>
    </row>
    <row r="3556" spans="1:2" x14ac:dyDescent="0.3">
      <c r="A3556" t="s">
        <v>2925</v>
      </c>
      <c r="B3556" t="s">
        <v>1</v>
      </c>
    </row>
    <row r="3557" spans="1:2" x14ac:dyDescent="0.3">
      <c r="A3557" t="s">
        <v>2926</v>
      </c>
      <c r="B3557" t="s">
        <v>1</v>
      </c>
    </row>
    <row r="3558" spans="1:2" x14ac:dyDescent="0.3">
      <c r="A3558" t="s">
        <v>2927</v>
      </c>
      <c r="B3558" t="s">
        <v>1</v>
      </c>
    </row>
    <row r="3559" spans="1:2" x14ac:dyDescent="0.3">
      <c r="A3559" t="s">
        <v>2928</v>
      </c>
      <c r="B3559" t="s">
        <v>1</v>
      </c>
    </row>
    <row r="3560" spans="1:2" x14ac:dyDescent="0.3">
      <c r="A3560" t="s">
        <v>2929</v>
      </c>
      <c r="B3560" t="s">
        <v>1</v>
      </c>
    </row>
    <row r="3561" spans="1:2" x14ac:dyDescent="0.3">
      <c r="A3561" t="s">
        <v>2930</v>
      </c>
      <c r="B3561" t="s">
        <v>1</v>
      </c>
    </row>
    <row r="3562" spans="1:2" x14ac:dyDescent="0.3">
      <c r="A3562" t="s">
        <v>2931</v>
      </c>
      <c r="B3562" t="s">
        <v>1</v>
      </c>
    </row>
    <row r="3563" spans="1:2" x14ac:dyDescent="0.3">
      <c r="A3563" t="s">
        <v>2932</v>
      </c>
      <c r="B3563" t="s">
        <v>1</v>
      </c>
    </row>
    <row r="3564" spans="1:2" x14ac:dyDescent="0.3">
      <c r="A3564" t="s">
        <v>2933</v>
      </c>
      <c r="B3564" t="s">
        <v>1</v>
      </c>
    </row>
    <row r="3565" spans="1:2" x14ac:dyDescent="0.3">
      <c r="A3565" t="s">
        <v>2934</v>
      </c>
      <c r="B3565" t="s">
        <v>1</v>
      </c>
    </row>
    <row r="3566" spans="1:2" x14ac:dyDescent="0.3">
      <c r="A3566" t="s">
        <v>2935</v>
      </c>
      <c r="B3566" t="s">
        <v>1</v>
      </c>
    </row>
    <row r="3567" spans="1:2" x14ac:dyDescent="0.3">
      <c r="A3567" t="s">
        <v>2936</v>
      </c>
      <c r="B3567" t="s">
        <v>1</v>
      </c>
    </row>
    <row r="3568" spans="1:2" x14ac:dyDescent="0.3">
      <c r="A3568" t="s">
        <v>2937</v>
      </c>
      <c r="B3568" t="s">
        <v>1</v>
      </c>
    </row>
    <row r="3569" spans="1:2" x14ac:dyDescent="0.3">
      <c r="A3569" t="s">
        <v>2938</v>
      </c>
      <c r="B3569" t="s">
        <v>1</v>
      </c>
    </row>
    <row r="3570" spans="1:2" x14ac:dyDescent="0.3">
      <c r="A3570" t="s">
        <v>2939</v>
      </c>
      <c r="B3570" t="s">
        <v>1</v>
      </c>
    </row>
    <row r="3571" spans="1:2" x14ac:dyDescent="0.3">
      <c r="A3571" t="s">
        <v>2940</v>
      </c>
      <c r="B3571" t="s">
        <v>1</v>
      </c>
    </row>
    <row r="3572" spans="1:2" x14ac:dyDescent="0.3">
      <c r="A3572" t="s">
        <v>2941</v>
      </c>
      <c r="B3572" t="s">
        <v>1</v>
      </c>
    </row>
    <row r="3573" spans="1:2" x14ac:dyDescent="0.3">
      <c r="A3573" t="s">
        <v>2942</v>
      </c>
      <c r="B3573" t="s">
        <v>1</v>
      </c>
    </row>
    <row r="3574" spans="1:2" x14ac:dyDescent="0.3">
      <c r="A3574" t="s">
        <v>2943</v>
      </c>
      <c r="B3574" t="s">
        <v>1</v>
      </c>
    </row>
    <row r="3575" spans="1:2" x14ac:dyDescent="0.3">
      <c r="A3575" t="s">
        <v>2944</v>
      </c>
      <c r="B3575" t="s">
        <v>1</v>
      </c>
    </row>
    <row r="3576" spans="1:2" x14ac:dyDescent="0.3">
      <c r="A3576" t="s">
        <v>171</v>
      </c>
      <c r="B3576" t="s">
        <v>1</v>
      </c>
    </row>
    <row r="3577" spans="1:2" x14ac:dyDescent="0.3">
      <c r="A3577" t="s">
        <v>2945</v>
      </c>
      <c r="B3577" t="s">
        <v>1</v>
      </c>
    </row>
    <row r="3578" spans="1:2" x14ac:dyDescent="0.3">
      <c r="B3578" t="s">
        <v>1</v>
      </c>
    </row>
    <row r="3579" spans="1:2" x14ac:dyDescent="0.3">
      <c r="A3579" t="s">
        <v>2946</v>
      </c>
      <c r="B3579" t="s">
        <v>1</v>
      </c>
    </row>
    <row r="3580" spans="1:2" x14ac:dyDescent="0.3">
      <c r="A3580" t="s">
        <v>2947</v>
      </c>
      <c r="B3580" t="s">
        <v>1</v>
      </c>
    </row>
    <row r="3581" spans="1:2" x14ac:dyDescent="0.3">
      <c r="A3581" t="s">
        <v>2948</v>
      </c>
      <c r="B3581" t="s">
        <v>1</v>
      </c>
    </row>
    <row r="3582" spans="1:2" x14ac:dyDescent="0.3">
      <c r="A3582" t="s">
        <v>2949</v>
      </c>
      <c r="B3582" t="s">
        <v>1</v>
      </c>
    </row>
    <row r="3583" spans="1:2" x14ac:dyDescent="0.3">
      <c r="A3583" t="s">
        <v>2950</v>
      </c>
      <c r="B3583" t="s">
        <v>1</v>
      </c>
    </row>
    <row r="3584" spans="1:2" x14ac:dyDescent="0.3">
      <c r="A3584" t="s">
        <v>2951</v>
      </c>
      <c r="B3584" t="s">
        <v>1</v>
      </c>
    </row>
    <row r="3585" spans="1:2" x14ac:dyDescent="0.3">
      <c r="A3585" t="s">
        <v>2952</v>
      </c>
      <c r="B3585" t="s">
        <v>1</v>
      </c>
    </row>
    <row r="3586" spans="1:2" x14ac:dyDescent="0.3">
      <c r="A3586" t="s">
        <v>2953</v>
      </c>
      <c r="B3586" t="s">
        <v>1</v>
      </c>
    </row>
    <row r="3587" spans="1:2" x14ac:dyDescent="0.3">
      <c r="A3587" t="s">
        <v>2954</v>
      </c>
      <c r="B3587" t="s">
        <v>1</v>
      </c>
    </row>
    <row r="3588" spans="1:2" x14ac:dyDescent="0.3">
      <c r="A3588" t="s">
        <v>2955</v>
      </c>
      <c r="B3588" t="s">
        <v>1</v>
      </c>
    </row>
    <row r="3589" spans="1:2" x14ac:dyDescent="0.3">
      <c r="A3589" t="s">
        <v>2956</v>
      </c>
      <c r="B3589" t="s">
        <v>1</v>
      </c>
    </row>
    <row r="3590" spans="1:2" x14ac:dyDescent="0.3">
      <c r="A3590" t="s">
        <v>2957</v>
      </c>
      <c r="B3590" t="s">
        <v>1</v>
      </c>
    </row>
    <row r="3591" spans="1:2" x14ac:dyDescent="0.3">
      <c r="A3591" t="s">
        <v>2958</v>
      </c>
      <c r="B3591" t="s">
        <v>1</v>
      </c>
    </row>
    <row r="3592" spans="1:2" x14ac:dyDescent="0.3">
      <c r="A3592" t="s">
        <v>2959</v>
      </c>
      <c r="B3592" t="s">
        <v>1</v>
      </c>
    </row>
    <row r="3593" spans="1:2" x14ac:dyDescent="0.3">
      <c r="A3593" t="s">
        <v>2960</v>
      </c>
      <c r="B3593" t="s">
        <v>1</v>
      </c>
    </row>
    <row r="3594" spans="1:2" x14ac:dyDescent="0.3">
      <c r="A3594" t="s">
        <v>2961</v>
      </c>
      <c r="B3594" t="s">
        <v>1</v>
      </c>
    </row>
    <row r="3595" spans="1:2" x14ac:dyDescent="0.3">
      <c r="A3595" t="s">
        <v>2962</v>
      </c>
      <c r="B3595" t="s">
        <v>1</v>
      </c>
    </row>
    <row r="3596" spans="1:2" x14ac:dyDescent="0.3">
      <c r="A3596" t="s">
        <v>2963</v>
      </c>
      <c r="B3596" t="s">
        <v>1</v>
      </c>
    </row>
    <row r="3597" spans="1:2" x14ac:dyDescent="0.3">
      <c r="A3597" t="s">
        <v>2964</v>
      </c>
      <c r="B3597" t="s">
        <v>1</v>
      </c>
    </row>
    <row r="3598" spans="1:2" x14ac:dyDescent="0.3">
      <c r="A3598" t="s">
        <v>2965</v>
      </c>
      <c r="B3598" t="s">
        <v>1</v>
      </c>
    </row>
    <row r="3599" spans="1:2" x14ac:dyDescent="0.3">
      <c r="A3599" t="s">
        <v>2966</v>
      </c>
      <c r="B3599" t="s">
        <v>1</v>
      </c>
    </row>
    <row r="3600" spans="1:2" x14ac:dyDescent="0.3">
      <c r="A3600" t="s">
        <v>109</v>
      </c>
      <c r="B3600" t="s">
        <v>1</v>
      </c>
    </row>
    <row r="3601" spans="1:2" x14ac:dyDescent="0.3">
      <c r="A3601" t="s">
        <v>2967</v>
      </c>
      <c r="B3601" t="s">
        <v>1</v>
      </c>
    </row>
    <row r="3602" spans="1:2" x14ac:dyDescent="0.3">
      <c r="A3602" t="s">
        <v>2968</v>
      </c>
      <c r="B3602" t="s">
        <v>1</v>
      </c>
    </row>
    <row r="3603" spans="1:2" x14ac:dyDescent="0.3">
      <c r="A3603" t="s">
        <v>2969</v>
      </c>
      <c r="B3603" t="s">
        <v>1</v>
      </c>
    </row>
    <row r="3604" spans="1:2" x14ac:dyDescent="0.3">
      <c r="A3604" t="s">
        <v>2970</v>
      </c>
      <c r="B3604" t="s">
        <v>1</v>
      </c>
    </row>
    <row r="3605" spans="1:2" x14ac:dyDescent="0.3">
      <c r="A3605" t="s">
        <v>2971</v>
      </c>
      <c r="B3605" t="s">
        <v>1</v>
      </c>
    </row>
    <row r="3606" spans="1:2" x14ac:dyDescent="0.3">
      <c r="A3606" t="s">
        <v>2972</v>
      </c>
      <c r="B3606" t="s">
        <v>1</v>
      </c>
    </row>
    <row r="3607" spans="1:2" x14ac:dyDescent="0.3">
      <c r="A3607" t="s">
        <v>2973</v>
      </c>
      <c r="B3607" t="s">
        <v>1</v>
      </c>
    </row>
    <row r="3608" spans="1:2" x14ac:dyDescent="0.3">
      <c r="A3608" t="s">
        <v>2974</v>
      </c>
      <c r="B3608" t="s">
        <v>1</v>
      </c>
    </row>
    <row r="3609" spans="1:2" x14ac:dyDescent="0.3">
      <c r="A3609" t="s">
        <v>2975</v>
      </c>
      <c r="B3609" t="s">
        <v>1</v>
      </c>
    </row>
    <row r="3610" spans="1:2" x14ac:dyDescent="0.3">
      <c r="B3610" t="s">
        <v>1</v>
      </c>
    </row>
    <row r="3611" spans="1:2" x14ac:dyDescent="0.3">
      <c r="A3611" t="s">
        <v>2976</v>
      </c>
      <c r="B3611" t="s">
        <v>1</v>
      </c>
    </row>
    <row r="3612" spans="1:2" x14ac:dyDescent="0.3">
      <c r="A3612" t="s">
        <v>2977</v>
      </c>
      <c r="B3612" t="s">
        <v>1</v>
      </c>
    </row>
    <row r="3613" spans="1:2" x14ac:dyDescent="0.3">
      <c r="A3613" t="s">
        <v>2978</v>
      </c>
      <c r="B3613" t="s">
        <v>1</v>
      </c>
    </row>
    <row r="3614" spans="1:2" x14ac:dyDescent="0.3">
      <c r="A3614" t="s">
        <v>2979</v>
      </c>
      <c r="B3614" t="s">
        <v>1</v>
      </c>
    </row>
    <row r="3615" spans="1:2" x14ac:dyDescent="0.3">
      <c r="A3615" t="s">
        <v>2980</v>
      </c>
      <c r="B3615" t="s">
        <v>1</v>
      </c>
    </row>
    <row r="3616" spans="1:2" x14ac:dyDescent="0.3">
      <c r="A3616" t="s">
        <v>2981</v>
      </c>
      <c r="B3616" t="s">
        <v>1</v>
      </c>
    </row>
    <row r="3617" spans="1:2" x14ac:dyDescent="0.3">
      <c r="A3617" t="s">
        <v>70</v>
      </c>
      <c r="B3617" t="s">
        <v>1</v>
      </c>
    </row>
    <row r="3618" spans="1:2" x14ac:dyDescent="0.3">
      <c r="A3618" t="s">
        <v>2982</v>
      </c>
      <c r="B3618" t="s">
        <v>1</v>
      </c>
    </row>
    <row r="3619" spans="1:2" x14ac:dyDescent="0.3">
      <c r="A3619" t="s">
        <v>2983</v>
      </c>
      <c r="B3619" t="s">
        <v>1</v>
      </c>
    </row>
    <row r="3620" spans="1:2" x14ac:dyDescent="0.3">
      <c r="A3620" t="s">
        <v>2984</v>
      </c>
      <c r="B3620" t="s">
        <v>1</v>
      </c>
    </row>
    <row r="3621" spans="1:2" x14ac:dyDescent="0.3">
      <c r="A3621" t="s">
        <v>2985</v>
      </c>
      <c r="B3621" t="s">
        <v>1</v>
      </c>
    </row>
    <row r="3622" spans="1:2" x14ac:dyDescent="0.3">
      <c r="A3622" t="s">
        <v>2986</v>
      </c>
      <c r="B3622" t="s">
        <v>1</v>
      </c>
    </row>
    <row r="3623" spans="1:2" x14ac:dyDescent="0.3">
      <c r="A3623" t="s">
        <v>2987</v>
      </c>
      <c r="B3623" t="s">
        <v>1</v>
      </c>
    </row>
    <row r="3624" spans="1:2" x14ac:dyDescent="0.3">
      <c r="A3624" t="s">
        <v>2988</v>
      </c>
      <c r="B3624" t="s">
        <v>1</v>
      </c>
    </row>
    <row r="3625" spans="1:2" x14ac:dyDescent="0.3">
      <c r="A3625" t="s">
        <v>2989</v>
      </c>
      <c r="B3625" t="s">
        <v>1</v>
      </c>
    </row>
    <row r="3626" spans="1:2" x14ac:dyDescent="0.3">
      <c r="A3626" t="s">
        <v>2990</v>
      </c>
      <c r="B3626" t="s">
        <v>1</v>
      </c>
    </row>
    <row r="3627" spans="1:2" x14ac:dyDescent="0.3">
      <c r="A3627" t="s">
        <v>2991</v>
      </c>
      <c r="B3627" t="s">
        <v>1</v>
      </c>
    </row>
    <row r="3628" spans="1:2" x14ac:dyDescent="0.3">
      <c r="A3628" t="s">
        <v>2992</v>
      </c>
      <c r="B3628" t="s">
        <v>1</v>
      </c>
    </row>
    <row r="3629" spans="1:2" x14ac:dyDescent="0.3">
      <c r="A3629" t="s">
        <v>2993</v>
      </c>
      <c r="B3629" t="s">
        <v>1</v>
      </c>
    </row>
    <row r="3630" spans="1:2" x14ac:dyDescent="0.3">
      <c r="A3630" t="s">
        <v>2994</v>
      </c>
      <c r="B3630" t="s">
        <v>1</v>
      </c>
    </row>
    <row r="3631" spans="1:2" x14ac:dyDescent="0.3">
      <c r="A3631" t="s">
        <v>2995</v>
      </c>
      <c r="B3631" t="s">
        <v>1</v>
      </c>
    </row>
    <row r="3632" spans="1:2" x14ac:dyDescent="0.3">
      <c r="A3632" t="s">
        <v>2996</v>
      </c>
      <c r="B3632" t="s">
        <v>1</v>
      </c>
    </row>
    <row r="3633" spans="1:2" x14ac:dyDescent="0.3">
      <c r="A3633" t="s">
        <v>2997</v>
      </c>
      <c r="B3633" t="s">
        <v>1</v>
      </c>
    </row>
    <row r="3634" spans="1:2" x14ac:dyDescent="0.3">
      <c r="A3634" t="s">
        <v>2998</v>
      </c>
      <c r="B3634" t="s">
        <v>1</v>
      </c>
    </row>
    <row r="3635" spans="1:2" x14ac:dyDescent="0.3">
      <c r="A3635" t="s">
        <v>2999</v>
      </c>
      <c r="B3635" t="s">
        <v>1</v>
      </c>
    </row>
    <row r="3636" spans="1:2" x14ac:dyDescent="0.3">
      <c r="A3636" t="s">
        <v>3000</v>
      </c>
      <c r="B3636" t="s">
        <v>1</v>
      </c>
    </row>
    <row r="3637" spans="1:2" x14ac:dyDescent="0.3">
      <c r="A3637" t="s">
        <v>3001</v>
      </c>
      <c r="B3637" t="s">
        <v>1</v>
      </c>
    </row>
    <row r="3638" spans="1:2" x14ac:dyDescent="0.3">
      <c r="A3638" t="s">
        <v>3002</v>
      </c>
      <c r="B3638" t="s">
        <v>1</v>
      </c>
    </row>
    <row r="3639" spans="1:2" x14ac:dyDescent="0.3">
      <c r="A3639" t="s">
        <v>3003</v>
      </c>
      <c r="B3639" t="s">
        <v>1</v>
      </c>
    </row>
    <row r="3640" spans="1:2" x14ac:dyDescent="0.3">
      <c r="A3640" t="s">
        <v>3004</v>
      </c>
      <c r="B3640" t="s">
        <v>1</v>
      </c>
    </row>
    <row r="3641" spans="1:2" x14ac:dyDescent="0.3">
      <c r="A3641" t="s">
        <v>3005</v>
      </c>
      <c r="B3641" t="s">
        <v>1</v>
      </c>
    </row>
    <row r="3642" spans="1:2" x14ac:dyDescent="0.3">
      <c r="A3642" t="s">
        <v>3006</v>
      </c>
      <c r="B3642" t="s">
        <v>1</v>
      </c>
    </row>
    <row r="3643" spans="1:2" x14ac:dyDescent="0.3">
      <c r="A3643" t="s">
        <v>3007</v>
      </c>
      <c r="B3643" t="s">
        <v>1</v>
      </c>
    </row>
    <row r="3644" spans="1:2" x14ac:dyDescent="0.3">
      <c r="A3644" t="s">
        <v>3008</v>
      </c>
      <c r="B3644" t="s">
        <v>1</v>
      </c>
    </row>
    <row r="3645" spans="1:2" x14ac:dyDescent="0.3">
      <c r="A3645" t="s">
        <v>3009</v>
      </c>
      <c r="B3645" t="s">
        <v>1</v>
      </c>
    </row>
    <row r="3646" spans="1:2" x14ac:dyDescent="0.3">
      <c r="A3646" t="s">
        <v>3010</v>
      </c>
      <c r="B3646" t="s">
        <v>1</v>
      </c>
    </row>
    <row r="3647" spans="1:2" x14ac:dyDescent="0.3">
      <c r="A3647" t="s">
        <v>3011</v>
      </c>
      <c r="B3647" t="s">
        <v>1</v>
      </c>
    </row>
    <row r="3648" spans="1:2" x14ac:dyDescent="0.3">
      <c r="A3648" t="s">
        <v>1860</v>
      </c>
      <c r="B3648" t="s">
        <v>1</v>
      </c>
    </row>
    <row r="3649" spans="1:2" x14ac:dyDescent="0.3">
      <c r="A3649" t="s">
        <v>3012</v>
      </c>
      <c r="B3649" t="s">
        <v>1</v>
      </c>
    </row>
    <row r="3650" spans="1:2" x14ac:dyDescent="0.3">
      <c r="A3650" t="s">
        <v>3013</v>
      </c>
      <c r="B3650" t="s">
        <v>1</v>
      </c>
    </row>
    <row r="3651" spans="1:2" x14ac:dyDescent="0.3">
      <c r="A3651" t="s">
        <v>3014</v>
      </c>
      <c r="B3651" t="s">
        <v>1</v>
      </c>
    </row>
    <row r="3652" spans="1:2" x14ac:dyDescent="0.3">
      <c r="A3652" t="s">
        <v>3015</v>
      </c>
      <c r="B3652" t="s">
        <v>1</v>
      </c>
    </row>
    <row r="3653" spans="1:2" x14ac:dyDescent="0.3">
      <c r="A3653" t="s">
        <v>3016</v>
      </c>
      <c r="B3653" t="s">
        <v>1</v>
      </c>
    </row>
    <row r="3654" spans="1:2" x14ac:dyDescent="0.3">
      <c r="A3654" t="s">
        <v>3017</v>
      </c>
      <c r="B3654" t="s">
        <v>1</v>
      </c>
    </row>
    <row r="3655" spans="1:2" x14ac:dyDescent="0.3">
      <c r="A3655" t="s">
        <v>193</v>
      </c>
      <c r="B3655" t="s">
        <v>1</v>
      </c>
    </row>
    <row r="3656" spans="1:2" x14ac:dyDescent="0.3">
      <c r="A3656" t="s">
        <v>3018</v>
      </c>
      <c r="B3656" t="s">
        <v>1</v>
      </c>
    </row>
    <row r="3657" spans="1:2" x14ac:dyDescent="0.3">
      <c r="A3657" t="s">
        <v>3019</v>
      </c>
      <c r="B3657" t="s">
        <v>1</v>
      </c>
    </row>
    <row r="3658" spans="1:2" x14ac:dyDescent="0.3">
      <c r="A3658" t="s">
        <v>3020</v>
      </c>
      <c r="B3658" t="s">
        <v>1</v>
      </c>
    </row>
    <row r="3659" spans="1:2" x14ac:dyDescent="0.3">
      <c r="A3659" t="s">
        <v>3021</v>
      </c>
      <c r="B3659" t="s">
        <v>1</v>
      </c>
    </row>
    <row r="3660" spans="1:2" x14ac:dyDescent="0.3">
      <c r="A3660" t="s">
        <v>3022</v>
      </c>
      <c r="B3660" t="s">
        <v>1</v>
      </c>
    </row>
    <row r="3661" spans="1:2" x14ac:dyDescent="0.3">
      <c r="A3661" t="s">
        <v>3023</v>
      </c>
      <c r="B3661" t="s">
        <v>1</v>
      </c>
    </row>
    <row r="3662" spans="1:2" x14ac:dyDescent="0.3">
      <c r="A3662" t="s">
        <v>3024</v>
      </c>
      <c r="B3662" t="s">
        <v>1</v>
      </c>
    </row>
    <row r="3663" spans="1:2" x14ac:dyDescent="0.3">
      <c r="A3663" t="s">
        <v>3025</v>
      </c>
      <c r="B3663" t="s">
        <v>1</v>
      </c>
    </row>
    <row r="3664" spans="1:2" x14ac:dyDescent="0.3">
      <c r="A3664" t="s">
        <v>3026</v>
      </c>
      <c r="B3664" t="s">
        <v>1</v>
      </c>
    </row>
    <row r="3665" spans="1:2" x14ac:dyDescent="0.3">
      <c r="A3665" t="s">
        <v>3027</v>
      </c>
      <c r="B3665" t="s">
        <v>1</v>
      </c>
    </row>
    <row r="3666" spans="1:2" x14ac:dyDescent="0.3">
      <c r="A3666" t="s">
        <v>3028</v>
      </c>
      <c r="B3666" t="s">
        <v>1</v>
      </c>
    </row>
    <row r="3667" spans="1:2" x14ac:dyDescent="0.3">
      <c r="A3667" t="s">
        <v>3029</v>
      </c>
      <c r="B3667" t="s">
        <v>1</v>
      </c>
    </row>
    <row r="3668" spans="1:2" x14ac:dyDescent="0.3">
      <c r="B3668" t="s">
        <v>1</v>
      </c>
    </row>
    <row r="3669" spans="1:2" x14ac:dyDescent="0.3">
      <c r="A3669" t="s">
        <v>3030</v>
      </c>
      <c r="B3669" t="s">
        <v>1</v>
      </c>
    </row>
    <row r="3670" spans="1:2" x14ac:dyDescent="0.3">
      <c r="A3670" t="s">
        <v>3031</v>
      </c>
      <c r="B3670" t="s">
        <v>1</v>
      </c>
    </row>
    <row r="3671" spans="1:2" x14ac:dyDescent="0.3">
      <c r="A3671" t="s">
        <v>3032</v>
      </c>
      <c r="B3671" t="s">
        <v>1</v>
      </c>
    </row>
    <row r="3672" spans="1:2" x14ac:dyDescent="0.3">
      <c r="A3672" t="s">
        <v>3033</v>
      </c>
      <c r="B3672" t="s">
        <v>1</v>
      </c>
    </row>
    <row r="3673" spans="1:2" x14ac:dyDescent="0.3">
      <c r="A3673" t="s">
        <v>3034</v>
      </c>
      <c r="B3673" t="s">
        <v>1</v>
      </c>
    </row>
    <row r="3674" spans="1:2" x14ac:dyDescent="0.3">
      <c r="A3674" t="s">
        <v>3035</v>
      </c>
      <c r="B3674" t="s">
        <v>1</v>
      </c>
    </row>
    <row r="3675" spans="1:2" x14ac:dyDescent="0.3">
      <c r="A3675" t="s">
        <v>3036</v>
      </c>
      <c r="B3675" t="s">
        <v>1</v>
      </c>
    </row>
    <row r="3676" spans="1:2" x14ac:dyDescent="0.3">
      <c r="A3676" t="s">
        <v>3037</v>
      </c>
      <c r="B3676" t="s">
        <v>1</v>
      </c>
    </row>
    <row r="3677" spans="1:2" x14ac:dyDescent="0.3">
      <c r="A3677" t="s">
        <v>3038</v>
      </c>
      <c r="B3677" t="s">
        <v>1</v>
      </c>
    </row>
    <row r="3678" spans="1:2" x14ac:dyDescent="0.3">
      <c r="A3678" t="s">
        <v>3039</v>
      </c>
      <c r="B3678" t="s">
        <v>1</v>
      </c>
    </row>
    <row r="3679" spans="1:2" x14ac:dyDescent="0.3">
      <c r="A3679" t="s">
        <v>3040</v>
      </c>
      <c r="B3679" t="s">
        <v>1</v>
      </c>
    </row>
    <row r="3680" spans="1:2" x14ac:dyDescent="0.3">
      <c r="A3680" t="s">
        <v>3041</v>
      </c>
      <c r="B3680" t="s">
        <v>1</v>
      </c>
    </row>
    <row r="3681" spans="1:2" x14ac:dyDescent="0.3">
      <c r="A3681" t="s">
        <v>3042</v>
      </c>
      <c r="B3681" t="s">
        <v>1</v>
      </c>
    </row>
    <row r="3682" spans="1:2" x14ac:dyDescent="0.3">
      <c r="A3682" t="s">
        <v>3043</v>
      </c>
      <c r="B3682" t="s">
        <v>1</v>
      </c>
    </row>
    <row r="3683" spans="1:2" x14ac:dyDescent="0.3">
      <c r="A3683" t="s">
        <v>3044</v>
      </c>
      <c r="B3683" t="s">
        <v>1</v>
      </c>
    </row>
    <row r="3684" spans="1:2" x14ac:dyDescent="0.3">
      <c r="A3684" t="s">
        <v>3045</v>
      </c>
      <c r="B3684" t="s">
        <v>1</v>
      </c>
    </row>
    <row r="3685" spans="1:2" x14ac:dyDescent="0.3">
      <c r="A3685" t="s">
        <v>3046</v>
      </c>
      <c r="B3685" t="s">
        <v>1</v>
      </c>
    </row>
    <row r="3686" spans="1:2" x14ac:dyDescent="0.3">
      <c r="A3686" t="s">
        <v>3047</v>
      </c>
      <c r="B3686" t="s">
        <v>1</v>
      </c>
    </row>
    <row r="3687" spans="1:2" x14ac:dyDescent="0.3">
      <c r="A3687" t="s">
        <v>3048</v>
      </c>
      <c r="B3687" t="s">
        <v>1</v>
      </c>
    </row>
    <row r="3688" spans="1:2" x14ac:dyDescent="0.3">
      <c r="A3688" t="s">
        <v>3049</v>
      </c>
      <c r="B3688" t="s">
        <v>1</v>
      </c>
    </row>
    <row r="3689" spans="1:2" x14ac:dyDescent="0.3">
      <c r="A3689" t="s">
        <v>3050</v>
      </c>
      <c r="B3689" t="s">
        <v>1</v>
      </c>
    </row>
    <row r="3690" spans="1:2" x14ac:dyDescent="0.3">
      <c r="A3690" t="s">
        <v>3051</v>
      </c>
      <c r="B3690" t="s">
        <v>1</v>
      </c>
    </row>
    <row r="3691" spans="1:2" x14ac:dyDescent="0.3">
      <c r="A3691" t="s">
        <v>3052</v>
      </c>
      <c r="B3691" t="s">
        <v>1</v>
      </c>
    </row>
    <row r="3692" spans="1:2" x14ac:dyDescent="0.3">
      <c r="A3692" t="s">
        <v>3053</v>
      </c>
      <c r="B3692" t="s">
        <v>1</v>
      </c>
    </row>
    <row r="3693" spans="1:2" x14ac:dyDescent="0.3">
      <c r="A3693" t="s">
        <v>3054</v>
      </c>
      <c r="B3693" t="s">
        <v>1</v>
      </c>
    </row>
    <row r="3694" spans="1:2" x14ac:dyDescent="0.3">
      <c r="A3694" t="s">
        <v>3055</v>
      </c>
      <c r="B3694" t="s">
        <v>1</v>
      </c>
    </row>
    <row r="3695" spans="1:2" x14ac:dyDescent="0.3">
      <c r="A3695" t="s">
        <v>3056</v>
      </c>
      <c r="B3695" t="s">
        <v>1</v>
      </c>
    </row>
    <row r="3696" spans="1:2" x14ac:dyDescent="0.3">
      <c r="A3696" t="s">
        <v>3057</v>
      </c>
      <c r="B3696" t="s">
        <v>1</v>
      </c>
    </row>
    <row r="3697" spans="1:2" x14ac:dyDescent="0.3">
      <c r="A3697" t="s">
        <v>3058</v>
      </c>
      <c r="B3697" t="s">
        <v>1</v>
      </c>
    </row>
    <row r="3698" spans="1:2" x14ac:dyDescent="0.3">
      <c r="A3698" t="s">
        <v>3059</v>
      </c>
      <c r="B3698" t="s">
        <v>1</v>
      </c>
    </row>
    <row r="3699" spans="1:2" x14ac:dyDescent="0.3">
      <c r="A3699" t="s">
        <v>3060</v>
      </c>
      <c r="B3699" t="s">
        <v>1</v>
      </c>
    </row>
    <row r="3700" spans="1:2" x14ac:dyDescent="0.3">
      <c r="A3700" t="s">
        <v>94</v>
      </c>
      <c r="B3700" t="s">
        <v>1</v>
      </c>
    </row>
    <row r="3701" spans="1:2" x14ac:dyDescent="0.3">
      <c r="A3701" t="s">
        <v>3061</v>
      </c>
      <c r="B3701" t="s">
        <v>1</v>
      </c>
    </row>
    <row r="3702" spans="1:2" x14ac:dyDescent="0.3">
      <c r="A3702" t="s">
        <v>3062</v>
      </c>
      <c r="B3702" t="s">
        <v>1</v>
      </c>
    </row>
    <row r="3703" spans="1:2" x14ac:dyDescent="0.3">
      <c r="A3703" t="s">
        <v>3063</v>
      </c>
      <c r="B3703" t="s">
        <v>1</v>
      </c>
    </row>
    <row r="3704" spans="1:2" x14ac:dyDescent="0.3">
      <c r="A3704" t="s">
        <v>3064</v>
      </c>
      <c r="B3704" t="s">
        <v>1</v>
      </c>
    </row>
    <row r="3705" spans="1:2" x14ac:dyDescent="0.3">
      <c r="A3705" t="s">
        <v>3065</v>
      </c>
      <c r="B3705" t="s">
        <v>1</v>
      </c>
    </row>
    <row r="3706" spans="1:2" x14ac:dyDescent="0.3">
      <c r="A3706" t="s">
        <v>3066</v>
      </c>
      <c r="B3706" t="s">
        <v>1</v>
      </c>
    </row>
    <row r="3707" spans="1:2" x14ac:dyDescent="0.3">
      <c r="A3707" t="s">
        <v>3067</v>
      </c>
      <c r="B3707" t="s">
        <v>1</v>
      </c>
    </row>
    <row r="3708" spans="1:2" x14ac:dyDescent="0.3">
      <c r="A3708" t="s">
        <v>3068</v>
      </c>
      <c r="B3708" t="s">
        <v>1</v>
      </c>
    </row>
    <row r="3709" spans="1:2" x14ac:dyDescent="0.3">
      <c r="A3709" t="s">
        <v>3069</v>
      </c>
      <c r="B3709" t="s">
        <v>1</v>
      </c>
    </row>
    <row r="3710" spans="1:2" x14ac:dyDescent="0.3">
      <c r="A3710" t="s">
        <v>3070</v>
      </c>
      <c r="B3710" t="s">
        <v>1</v>
      </c>
    </row>
    <row r="3711" spans="1:2" x14ac:dyDescent="0.3">
      <c r="A3711" t="s">
        <v>3071</v>
      </c>
      <c r="B3711" t="s">
        <v>1</v>
      </c>
    </row>
    <row r="3712" spans="1:2" x14ac:dyDescent="0.3">
      <c r="A3712" t="s">
        <v>3072</v>
      </c>
      <c r="B3712" t="s">
        <v>1</v>
      </c>
    </row>
    <row r="3713" spans="1:2" x14ac:dyDescent="0.3">
      <c r="A3713" t="s">
        <v>3073</v>
      </c>
      <c r="B3713" t="s">
        <v>1</v>
      </c>
    </row>
    <row r="3714" spans="1:2" x14ac:dyDescent="0.3">
      <c r="A3714" t="s">
        <v>3074</v>
      </c>
      <c r="B3714" t="s">
        <v>1</v>
      </c>
    </row>
    <row r="3715" spans="1:2" x14ac:dyDescent="0.3">
      <c r="A3715" t="s">
        <v>3075</v>
      </c>
      <c r="B3715" t="s">
        <v>1</v>
      </c>
    </row>
    <row r="3716" spans="1:2" x14ac:dyDescent="0.3">
      <c r="A3716" t="s">
        <v>3076</v>
      </c>
      <c r="B3716" t="s">
        <v>1</v>
      </c>
    </row>
    <row r="3717" spans="1:2" x14ac:dyDescent="0.3">
      <c r="A3717" t="s">
        <v>3077</v>
      </c>
      <c r="B3717" t="s">
        <v>1</v>
      </c>
    </row>
    <row r="3718" spans="1:2" x14ac:dyDescent="0.3">
      <c r="A3718" t="s">
        <v>3078</v>
      </c>
      <c r="B3718" t="s">
        <v>1</v>
      </c>
    </row>
    <row r="3719" spans="1:2" x14ac:dyDescent="0.3">
      <c r="A3719" t="s">
        <v>3079</v>
      </c>
      <c r="B3719" t="s">
        <v>1</v>
      </c>
    </row>
    <row r="3720" spans="1:2" x14ac:dyDescent="0.3">
      <c r="A3720" t="s">
        <v>3080</v>
      </c>
      <c r="B3720" t="s">
        <v>1</v>
      </c>
    </row>
    <row r="3721" spans="1:2" x14ac:dyDescent="0.3">
      <c r="A3721" t="s">
        <v>3081</v>
      </c>
      <c r="B3721" t="s">
        <v>1</v>
      </c>
    </row>
    <row r="3722" spans="1:2" x14ac:dyDescent="0.3">
      <c r="A3722" t="s">
        <v>3082</v>
      </c>
      <c r="B3722" t="s">
        <v>1</v>
      </c>
    </row>
    <row r="3723" spans="1:2" x14ac:dyDescent="0.3">
      <c r="A3723" t="s">
        <v>3083</v>
      </c>
      <c r="B3723" t="s">
        <v>1</v>
      </c>
    </row>
    <row r="3724" spans="1:2" x14ac:dyDescent="0.3">
      <c r="A3724" t="s">
        <v>3084</v>
      </c>
      <c r="B3724" t="s">
        <v>1</v>
      </c>
    </row>
    <row r="3725" spans="1:2" x14ac:dyDescent="0.3">
      <c r="A3725" t="s">
        <v>3085</v>
      </c>
      <c r="B3725" t="s">
        <v>1</v>
      </c>
    </row>
    <row r="3726" spans="1:2" x14ac:dyDescent="0.3">
      <c r="A3726" t="s">
        <v>3086</v>
      </c>
      <c r="B3726" t="s">
        <v>1</v>
      </c>
    </row>
    <row r="3727" spans="1:2" x14ac:dyDescent="0.3">
      <c r="A3727" t="s">
        <v>3087</v>
      </c>
      <c r="B3727" t="s">
        <v>1</v>
      </c>
    </row>
    <row r="3728" spans="1:2" x14ac:dyDescent="0.3">
      <c r="A3728" t="s">
        <v>3088</v>
      </c>
      <c r="B3728" t="s">
        <v>1</v>
      </c>
    </row>
    <row r="3729" spans="1:2" x14ac:dyDescent="0.3">
      <c r="A3729" t="s">
        <v>3089</v>
      </c>
      <c r="B3729" t="s">
        <v>1</v>
      </c>
    </row>
    <row r="3730" spans="1:2" x14ac:dyDescent="0.3">
      <c r="A3730" t="s">
        <v>3090</v>
      </c>
      <c r="B3730" t="s">
        <v>1</v>
      </c>
    </row>
    <row r="3731" spans="1:2" x14ac:dyDescent="0.3">
      <c r="A3731" t="s">
        <v>3091</v>
      </c>
      <c r="B3731" t="s">
        <v>1</v>
      </c>
    </row>
    <row r="3732" spans="1:2" x14ac:dyDescent="0.3">
      <c r="A3732" t="s">
        <v>3092</v>
      </c>
      <c r="B3732" t="s">
        <v>1</v>
      </c>
    </row>
    <row r="3733" spans="1:2" x14ac:dyDescent="0.3">
      <c r="A3733" t="s">
        <v>219</v>
      </c>
      <c r="B3733" t="s">
        <v>1</v>
      </c>
    </row>
    <row r="3734" spans="1:2" x14ac:dyDescent="0.3">
      <c r="A3734" t="s">
        <v>3093</v>
      </c>
      <c r="B3734" t="s">
        <v>1</v>
      </c>
    </row>
    <row r="3735" spans="1:2" x14ac:dyDescent="0.3">
      <c r="A3735" t="s">
        <v>3094</v>
      </c>
      <c r="B3735" t="s">
        <v>1</v>
      </c>
    </row>
    <row r="3736" spans="1:2" x14ac:dyDescent="0.3">
      <c r="A3736" t="s">
        <v>3095</v>
      </c>
      <c r="B3736" t="s">
        <v>1</v>
      </c>
    </row>
    <row r="3737" spans="1:2" x14ac:dyDescent="0.3">
      <c r="A3737" t="s">
        <v>3096</v>
      </c>
      <c r="B3737" t="s">
        <v>1</v>
      </c>
    </row>
    <row r="3738" spans="1:2" x14ac:dyDescent="0.3">
      <c r="A3738" t="s">
        <v>3097</v>
      </c>
      <c r="B3738" t="s">
        <v>1</v>
      </c>
    </row>
    <row r="3739" spans="1:2" x14ac:dyDescent="0.3">
      <c r="A3739" t="s">
        <v>3098</v>
      </c>
      <c r="B3739" t="s">
        <v>1</v>
      </c>
    </row>
    <row r="3740" spans="1:2" x14ac:dyDescent="0.3">
      <c r="A3740" t="s">
        <v>3099</v>
      </c>
      <c r="B3740" t="s">
        <v>1</v>
      </c>
    </row>
    <row r="3741" spans="1:2" x14ac:dyDescent="0.3">
      <c r="A3741" t="s">
        <v>3100</v>
      </c>
      <c r="B3741" t="s">
        <v>1</v>
      </c>
    </row>
    <row r="3742" spans="1:2" x14ac:dyDescent="0.3">
      <c r="A3742" t="s">
        <v>3101</v>
      </c>
      <c r="B3742" t="s">
        <v>1</v>
      </c>
    </row>
    <row r="3743" spans="1:2" x14ac:dyDescent="0.3">
      <c r="A3743" t="s">
        <v>3102</v>
      </c>
      <c r="B3743" t="s">
        <v>1</v>
      </c>
    </row>
    <row r="3744" spans="1:2" x14ac:dyDescent="0.3">
      <c r="A3744" t="s">
        <v>3103</v>
      </c>
      <c r="B3744" t="s">
        <v>1</v>
      </c>
    </row>
    <row r="3745" spans="1:2" x14ac:dyDescent="0.3">
      <c r="A3745" t="s">
        <v>3104</v>
      </c>
      <c r="B3745" t="s">
        <v>1</v>
      </c>
    </row>
    <row r="3746" spans="1:2" x14ac:dyDescent="0.3">
      <c r="A3746" t="s">
        <v>3105</v>
      </c>
      <c r="B3746" t="s">
        <v>1</v>
      </c>
    </row>
    <row r="3747" spans="1:2" x14ac:dyDescent="0.3">
      <c r="A3747" t="s">
        <v>3106</v>
      </c>
      <c r="B3747" t="s">
        <v>1</v>
      </c>
    </row>
    <row r="3748" spans="1:2" x14ac:dyDescent="0.3">
      <c r="A3748" t="s">
        <v>3107</v>
      </c>
      <c r="B3748" t="s">
        <v>1</v>
      </c>
    </row>
    <row r="3749" spans="1:2" x14ac:dyDescent="0.3">
      <c r="A3749" t="s">
        <v>3108</v>
      </c>
      <c r="B3749" t="s">
        <v>1</v>
      </c>
    </row>
    <row r="3750" spans="1:2" x14ac:dyDescent="0.3">
      <c r="A3750" t="s">
        <v>3109</v>
      </c>
      <c r="B3750" t="s">
        <v>1</v>
      </c>
    </row>
    <row r="3751" spans="1:2" x14ac:dyDescent="0.3">
      <c r="A3751" t="s">
        <v>3110</v>
      </c>
      <c r="B3751" t="s">
        <v>1</v>
      </c>
    </row>
    <row r="3752" spans="1:2" x14ac:dyDescent="0.3">
      <c r="A3752" t="s">
        <v>3111</v>
      </c>
      <c r="B3752" t="s">
        <v>1</v>
      </c>
    </row>
    <row r="3753" spans="1:2" x14ac:dyDescent="0.3">
      <c r="A3753" t="s">
        <v>3112</v>
      </c>
      <c r="B3753" t="s">
        <v>1</v>
      </c>
    </row>
    <row r="3754" spans="1:2" x14ac:dyDescent="0.3">
      <c r="A3754" t="s">
        <v>3113</v>
      </c>
      <c r="B3754" t="s">
        <v>1</v>
      </c>
    </row>
    <row r="3755" spans="1:2" x14ac:dyDescent="0.3">
      <c r="A3755" t="s">
        <v>3114</v>
      </c>
      <c r="B3755" t="s">
        <v>1</v>
      </c>
    </row>
    <row r="3756" spans="1:2" x14ac:dyDescent="0.3">
      <c r="A3756" t="s">
        <v>3115</v>
      </c>
      <c r="B3756" t="s">
        <v>1</v>
      </c>
    </row>
    <row r="3757" spans="1:2" x14ac:dyDescent="0.3">
      <c r="A3757" t="s">
        <v>3116</v>
      </c>
      <c r="B3757" t="s">
        <v>1</v>
      </c>
    </row>
    <row r="3758" spans="1:2" x14ac:dyDescent="0.3">
      <c r="A3758" t="s">
        <v>3117</v>
      </c>
      <c r="B3758" t="s">
        <v>1</v>
      </c>
    </row>
    <row r="3759" spans="1:2" x14ac:dyDescent="0.3">
      <c r="A3759" t="s">
        <v>3118</v>
      </c>
      <c r="B3759" t="s">
        <v>1</v>
      </c>
    </row>
    <row r="3760" spans="1:2" x14ac:dyDescent="0.3">
      <c r="A3760" t="s">
        <v>3119</v>
      </c>
      <c r="B3760" t="s">
        <v>1</v>
      </c>
    </row>
    <row r="3761" spans="1:2" x14ac:dyDescent="0.3">
      <c r="A3761" t="s">
        <v>3120</v>
      </c>
      <c r="B3761" t="s">
        <v>1</v>
      </c>
    </row>
    <row r="3762" spans="1:2" x14ac:dyDescent="0.3">
      <c r="A3762" t="s">
        <v>3121</v>
      </c>
      <c r="B3762" t="s">
        <v>1</v>
      </c>
    </row>
    <row r="3763" spans="1:2" x14ac:dyDescent="0.3">
      <c r="A3763" t="s">
        <v>3122</v>
      </c>
      <c r="B3763" t="s">
        <v>1</v>
      </c>
    </row>
    <row r="3764" spans="1:2" x14ac:dyDescent="0.3">
      <c r="A3764" t="s">
        <v>3123</v>
      </c>
      <c r="B3764" t="s">
        <v>1</v>
      </c>
    </row>
    <row r="3765" spans="1:2" x14ac:dyDescent="0.3">
      <c r="A3765" t="s">
        <v>3124</v>
      </c>
      <c r="B3765" t="s">
        <v>1</v>
      </c>
    </row>
    <row r="3766" spans="1:2" x14ac:dyDescent="0.3">
      <c r="A3766" t="s">
        <v>3125</v>
      </c>
      <c r="B3766" t="s">
        <v>1</v>
      </c>
    </row>
    <row r="3767" spans="1:2" x14ac:dyDescent="0.3">
      <c r="A3767" t="s">
        <v>1164</v>
      </c>
      <c r="B3767" t="s">
        <v>1</v>
      </c>
    </row>
    <row r="3768" spans="1:2" x14ac:dyDescent="0.3">
      <c r="A3768" t="s">
        <v>3126</v>
      </c>
      <c r="B3768" t="s">
        <v>1</v>
      </c>
    </row>
    <row r="3769" spans="1:2" x14ac:dyDescent="0.3">
      <c r="A3769" t="s">
        <v>3127</v>
      </c>
      <c r="B3769" t="s">
        <v>1</v>
      </c>
    </row>
    <row r="3770" spans="1:2" x14ac:dyDescent="0.3">
      <c r="A3770" t="s">
        <v>3128</v>
      </c>
      <c r="B3770" t="s">
        <v>1</v>
      </c>
    </row>
    <row r="3771" spans="1:2" x14ac:dyDescent="0.3">
      <c r="A3771" t="s">
        <v>3129</v>
      </c>
      <c r="B3771" t="s">
        <v>1</v>
      </c>
    </row>
    <row r="3772" spans="1:2" x14ac:dyDescent="0.3">
      <c r="A3772" t="s">
        <v>3130</v>
      </c>
      <c r="B3772" t="s">
        <v>1</v>
      </c>
    </row>
    <row r="3773" spans="1:2" x14ac:dyDescent="0.3">
      <c r="A3773" t="s">
        <v>3131</v>
      </c>
      <c r="B3773" t="s">
        <v>1</v>
      </c>
    </row>
    <row r="3774" spans="1:2" x14ac:dyDescent="0.3">
      <c r="A3774" t="s">
        <v>3132</v>
      </c>
      <c r="B3774" t="s">
        <v>1</v>
      </c>
    </row>
    <row r="3775" spans="1:2" x14ac:dyDescent="0.3">
      <c r="A3775" t="s">
        <v>3133</v>
      </c>
      <c r="B3775" t="s">
        <v>1</v>
      </c>
    </row>
    <row r="3776" spans="1:2" x14ac:dyDescent="0.3">
      <c r="A3776" t="s">
        <v>3134</v>
      </c>
      <c r="B3776" t="s">
        <v>1</v>
      </c>
    </row>
    <row r="3777" spans="1:2" x14ac:dyDescent="0.3">
      <c r="A3777" t="s">
        <v>3135</v>
      </c>
      <c r="B3777" t="s">
        <v>1</v>
      </c>
    </row>
    <row r="3778" spans="1:2" x14ac:dyDescent="0.3">
      <c r="A3778" t="s">
        <v>3136</v>
      </c>
      <c r="B3778" t="s">
        <v>1</v>
      </c>
    </row>
    <row r="3779" spans="1:2" x14ac:dyDescent="0.3">
      <c r="A3779" t="s">
        <v>3137</v>
      </c>
      <c r="B3779" t="s">
        <v>1</v>
      </c>
    </row>
    <row r="3780" spans="1:2" x14ac:dyDescent="0.3">
      <c r="A3780" t="s">
        <v>3138</v>
      </c>
      <c r="B3780" t="s">
        <v>1</v>
      </c>
    </row>
    <row r="3781" spans="1:2" x14ac:dyDescent="0.3">
      <c r="A3781" t="s">
        <v>3139</v>
      </c>
      <c r="B3781" t="s">
        <v>1</v>
      </c>
    </row>
    <row r="3782" spans="1:2" x14ac:dyDescent="0.3">
      <c r="A3782" t="s">
        <v>3140</v>
      </c>
      <c r="B3782" t="s">
        <v>1</v>
      </c>
    </row>
    <row r="3783" spans="1:2" x14ac:dyDescent="0.3">
      <c r="A3783" t="s">
        <v>3141</v>
      </c>
      <c r="B3783" t="s">
        <v>1</v>
      </c>
    </row>
    <row r="3784" spans="1:2" x14ac:dyDescent="0.3">
      <c r="A3784" t="s">
        <v>3142</v>
      </c>
      <c r="B3784" t="s">
        <v>1</v>
      </c>
    </row>
    <row r="3785" spans="1:2" x14ac:dyDescent="0.3">
      <c r="A3785" t="s">
        <v>3143</v>
      </c>
      <c r="B3785" t="s">
        <v>1</v>
      </c>
    </row>
    <row r="3786" spans="1:2" x14ac:dyDescent="0.3">
      <c r="A3786" t="s">
        <v>3144</v>
      </c>
      <c r="B3786" t="s">
        <v>1</v>
      </c>
    </row>
    <row r="3787" spans="1:2" x14ac:dyDescent="0.3">
      <c r="A3787" t="s">
        <v>3145</v>
      </c>
      <c r="B3787" t="s">
        <v>1</v>
      </c>
    </row>
    <row r="3788" spans="1:2" x14ac:dyDescent="0.3">
      <c r="A3788" t="s">
        <v>3146</v>
      </c>
      <c r="B3788" t="s">
        <v>175</v>
      </c>
    </row>
    <row r="3789" spans="1:2" x14ac:dyDescent="0.3">
      <c r="B3789" t="s">
        <v>169</v>
      </c>
    </row>
    <row r="3790" spans="1:2" x14ac:dyDescent="0.3">
      <c r="B3790" t="s">
        <v>169</v>
      </c>
    </row>
    <row r="3791" spans="1:2" x14ac:dyDescent="0.3">
      <c r="B3791" t="s">
        <v>169</v>
      </c>
    </row>
    <row r="3792" spans="1:2" x14ac:dyDescent="0.3">
      <c r="A3792" t="s">
        <v>3147</v>
      </c>
      <c r="B3792" t="s">
        <v>169</v>
      </c>
    </row>
    <row r="3793" spans="1:2" x14ac:dyDescent="0.3">
      <c r="A3793" t="s">
        <v>3148</v>
      </c>
      <c r="B3793" t="s">
        <v>169</v>
      </c>
    </row>
    <row r="3794" spans="1:2" x14ac:dyDescent="0.3">
      <c r="B3794" t="s">
        <v>169</v>
      </c>
    </row>
    <row r="3795" spans="1:2" x14ac:dyDescent="0.3">
      <c r="B3795" t="s">
        <v>169</v>
      </c>
    </row>
    <row r="3796" spans="1:2" x14ac:dyDescent="0.3">
      <c r="A3796" t="s">
        <v>3149</v>
      </c>
      <c r="B3796" t="s">
        <v>169</v>
      </c>
    </row>
    <row r="3797" spans="1:2" x14ac:dyDescent="0.3">
      <c r="B3797" t="s">
        <v>169</v>
      </c>
    </row>
    <row r="3798" spans="1:2" x14ac:dyDescent="0.3">
      <c r="A3798" t="s">
        <v>3150</v>
      </c>
      <c r="B3798" t="s">
        <v>169</v>
      </c>
    </row>
    <row r="3799" spans="1:2" x14ac:dyDescent="0.3">
      <c r="A3799" t="s">
        <v>3151</v>
      </c>
      <c r="B3799" t="s">
        <v>169</v>
      </c>
    </row>
    <row r="3800" spans="1:2" x14ac:dyDescent="0.3">
      <c r="A3800" t="s">
        <v>3152</v>
      </c>
      <c r="B3800" t="s">
        <v>169</v>
      </c>
    </row>
    <row r="3801" spans="1:2" x14ac:dyDescent="0.3">
      <c r="A3801" t="s">
        <v>3153</v>
      </c>
      <c r="B3801" t="s">
        <v>169</v>
      </c>
    </row>
    <row r="3802" spans="1:2" x14ac:dyDescent="0.3">
      <c r="A3802" t="s">
        <v>3154</v>
      </c>
      <c r="B3802" t="s">
        <v>169</v>
      </c>
    </row>
    <row r="3803" spans="1:2" x14ac:dyDescent="0.3">
      <c r="A3803" t="s">
        <v>3155</v>
      </c>
      <c r="B3803" t="s">
        <v>169</v>
      </c>
    </row>
    <row r="3804" spans="1:2" x14ac:dyDescent="0.3">
      <c r="A3804" t="s">
        <v>3156</v>
      </c>
      <c r="B3804" t="s">
        <v>169</v>
      </c>
    </row>
    <row r="3805" spans="1:2" x14ac:dyDescent="0.3">
      <c r="A3805" t="s">
        <v>3157</v>
      </c>
      <c r="B3805" t="s">
        <v>169</v>
      </c>
    </row>
    <row r="3806" spans="1:2" x14ac:dyDescent="0.3">
      <c r="A3806" t="s">
        <v>3158</v>
      </c>
      <c r="B3806" t="s">
        <v>169</v>
      </c>
    </row>
    <row r="3807" spans="1:2" x14ac:dyDescent="0.3">
      <c r="A3807" t="s">
        <v>3159</v>
      </c>
      <c r="B3807" t="s">
        <v>169</v>
      </c>
    </row>
    <row r="3808" spans="1:2" x14ac:dyDescent="0.3">
      <c r="A3808" t="s">
        <v>3160</v>
      </c>
      <c r="B3808" t="s">
        <v>169</v>
      </c>
    </row>
    <row r="3809" spans="1:2" x14ac:dyDescent="0.3">
      <c r="A3809" t="s">
        <v>3161</v>
      </c>
      <c r="B3809" t="s">
        <v>169</v>
      </c>
    </row>
    <row r="3810" spans="1:2" x14ac:dyDescent="0.3">
      <c r="B3810" t="s">
        <v>169</v>
      </c>
    </row>
    <row r="3811" spans="1:2" x14ac:dyDescent="0.3">
      <c r="A3811" t="s">
        <v>3162</v>
      </c>
      <c r="B3811" t="s">
        <v>169</v>
      </c>
    </row>
    <row r="3812" spans="1:2" x14ac:dyDescent="0.3">
      <c r="A3812" t="s">
        <v>3163</v>
      </c>
      <c r="B3812" t="s">
        <v>169</v>
      </c>
    </row>
    <row r="3813" spans="1:2" x14ac:dyDescent="0.3">
      <c r="B3813" t="s">
        <v>263</v>
      </c>
    </row>
    <row r="3814" spans="1:2" x14ac:dyDescent="0.3">
      <c r="A3814" t="s">
        <v>3164</v>
      </c>
      <c r="B3814" t="s">
        <v>169</v>
      </c>
    </row>
    <row r="3815" spans="1:2" x14ac:dyDescent="0.3">
      <c r="A3815" t="s">
        <v>3165</v>
      </c>
      <c r="B3815" t="s">
        <v>169</v>
      </c>
    </row>
    <row r="3816" spans="1:2" x14ac:dyDescent="0.3">
      <c r="A3816" t="s">
        <v>3166</v>
      </c>
      <c r="B3816" t="s">
        <v>169</v>
      </c>
    </row>
    <row r="3817" spans="1:2" x14ac:dyDescent="0.3">
      <c r="A3817" t="s">
        <v>3167</v>
      </c>
      <c r="B3817" t="s">
        <v>169</v>
      </c>
    </row>
    <row r="3818" spans="1:2" x14ac:dyDescent="0.3">
      <c r="A3818" t="s">
        <v>3168</v>
      </c>
      <c r="B3818" t="s">
        <v>169</v>
      </c>
    </row>
    <row r="3819" spans="1:2" x14ac:dyDescent="0.3">
      <c r="A3819" t="s">
        <v>3169</v>
      </c>
      <c r="B3819" t="s">
        <v>169</v>
      </c>
    </row>
    <row r="3820" spans="1:2" x14ac:dyDescent="0.3">
      <c r="A3820" t="s">
        <v>3170</v>
      </c>
      <c r="B3820" t="s">
        <v>169</v>
      </c>
    </row>
    <row r="3821" spans="1:2" x14ac:dyDescent="0.3">
      <c r="A3821" t="s">
        <v>3171</v>
      </c>
      <c r="B3821" t="s">
        <v>169</v>
      </c>
    </row>
    <row r="3822" spans="1:2" x14ac:dyDescent="0.3">
      <c r="B3822" t="s">
        <v>169</v>
      </c>
    </row>
    <row r="3823" spans="1:2" x14ac:dyDescent="0.3">
      <c r="A3823" t="s">
        <v>3172</v>
      </c>
      <c r="B3823" t="s">
        <v>169</v>
      </c>
    </row>
    <row r="3824" spans="1:2" x14ac:dyDescent="0.3">
      <c r="A3824" t="s">
        <v>3173</v>
      </c>
      <c r="B3824" t="s">
        <v>169</v>
      </c>
    </row>
    <row r="3825" spans="1:2" x14ac:dyDescent="0.3">
      <c r="B3825" t="s">
        <v>186</v>
      </c>
    </row>
    <row r="3826" spans="1:2" x14ac:dyDescent="0.3">
      <c r="A3826" t="s">
        <v>3174</v>
      </c>
      <c r="B3826" t="s">
        <v>169</v>
      </c>
    </row>
    <row r="3827" spans="1:2" x14ac:dyDescent="0.3">
      <c r="A3827" t="s">
        <v>3175</v>
      </c>
      <c r="B3827" t="s">
        <v>169</v>
      </c>
    </row>
    <row r="3828" spans="1:2" x14ac:dyDescent="0.3">
      <c r="A3828" t="s">
        <v>3176</v>
      </c>
      <c r="B3828" t="s">
        <v>169</v>
      </c>
    </row>
    <row r="3829" spans="1:2" x14ac:dyDescent="0.3">
      <c r="A3829" t="s">
        <v>3177</v>
      </c>
      <c r="B3829" t="s">
        <v>175</v>
      </c>
    </row>
    <row r="3830" spans="1:2" x14ac:dyDescent="0.3">
      <c r="A3830" t="s">
        <v>3178</v>
      </c>
      <c r="B3830" t="s">
        <v>175</v>
      </c>
    </row>
    <row r="3831" spans="1:2" x14ac:dyDescent="0.3">
      <c r="A3831" t="s">
        <v>3179</v>
      </c>
      <c r="B3831" t="s">
        <v>175</v>
      </c>
    </row>
    <row r="3832" spans="1:2" x14ac:dyDescent="0.3">
      <c r="A3832" t="s">
        <v>3180</v>
      </c>
      <c r="B3832" t="s">
        <v>169</v>
      </c>
    </row>
    <row r="3833" spans="1:2" x14ac:dyDescent="0.3">
      <c r="A3833" t="s">
        <v>3181</v>
      </c>
      <c r="B3833" t="s">
        <v>175</v>
      </c>
    </row>
    <row r="3834" spans="1:2" x14ac:dyDescent="0.3">
      <c r="A3834" t="s">
        <v>3182</v>
      </c>
      <c r="B3834" t="s">
        <v>175</v>
      </c>
    </row>
    <row r="3835" spans="1:2" x14ac:dyDescent="0.3">
      <c r="A3835" t="s">
        <v>3183</v>
      </c>
      <c r="B3835" t="s">
        <v>175</v>
      </c>
    </row>
    <row r="3836" spans="1:2" x14ac:dyDescent="0.3">
      <c r="A3836" t="s">
        <v>3184</v>
      </c>
      <c r="B3836" t="s">
        <v>175</v>
      </c>
    </row>
    <row r="3837" spans="1:2" x14ac:dyDescent="0.3">
      <c r="A3837" t="s">
        <v>3185</v>
      </c>
      <c r="B3837" t="s">
        <v>175</v>
      </c>
    </row>
    <row r="3838" spans="1:2" x14ac:dyDescent="0.3">
      <c r="A3838" t="s">
        <v>234</v>
      </c>
      <c r="B3838" t="s">
        <v>180</v>
      </c>
    </row>
    <row r="3839" spans="1:2" x14ac:dyDescent="0.3">
      <c r="A3839" t="s">
        <v>3186</v>
      </c>
      <c r="B3839" t="s">
        <v>174</v>
      </c>
    </row>
    <row r="3840" spans="1:2" x14ac:dyDescent="0.3">
      <c r="A3840" t="s">
        <v>3187</v>
      </c>
      <c r="B3840" t="s">
        <v>174</v>
      </c>
    </row>
    <row r="3841" spans="1:2" x14ac:dyDescent="0.3">
      <c r="A3841" t="s">
        <v>3188</v>
      </c>
      <c r="B3841" t="s">
        <v>1</v>
      </c>
    </row>
    <row r="3842" spans="1:2" x14ac:dyDescent="0.3">
      <c r="A3842" t="s">
        <v>3189</v>
      </c>
      <c r="B3842" t="s">
        <v>1</v>
      </c>
    </row>
    <row r="3843" spans="1:2" x14ac:dyDescent="0.3">
      <c r="A3843" t="s">
        <v>3190</v>
      </c>
      <c r="B3843" t="s">
        <v>1</v>
      </c>
    </row>
    <row r="3844" spans="1:2" x14ac:dyDescent="0.3">
      <c r="A3844" t="s">
        <v>3191</v>
      </c>
      <c r="B3844" t="s">
        <v>1</v>
      </c>
    </row>
    <row r="3845" spans="1:2" x14ac:dyDescent="0.3">
      <c r="A3845" t="s">
        <v>3192</v>
      </c>
      <c r="B3845" t="s">
        <v>1</v>
      </c>
    </row>
    <row r="3846" spans="1:2" x14ac:dyDescent="0.3">
      <c r="A3846" t="s">
        <v>3193</v>
      </c>
      <c r="B3846" t="s">
        <v>1</v>
      </c>
    </row>
    <row r="3847" spans="1:2" x14ac:dyDescent="0.3">
      <c r="A3847" t="s">
        <v>3194</v>
      </c>
      <c r="B3847" t="s">
        <v>1</v>
      </c>
    </row>
    <row r="3848" spans="1:2" x14ac:dyDescent="0.3">
      <c r="B3848" t="s">
        <v>177</v>
      </c>
    </row>
    <row r="3849" spans="1:2" x14ac:dyDescent="0.3">
      <c r="A3849" t="s">
        <v>3195</v>
      </c>
      <c r="B3849" t="s">
        <v>1283</v>
      </c>
    </row>
    <row r="3850" spans="1:2" x14ac:dyDescent="0.3">
      <c r="A3850" t="s">
        <v>208</v>
      </c>
      <c r="B3850" t="s">
        <v>1283</v>
      </c>
    </row>
    <row r="3851" spans="1:2" x14ac:dyDescent="0.3">
      <c r="A3851" t="s">
        <v>3196</v>
      </c>
      <c r="B3851" t="s">
        <v>3197</v>
      </c>
    </row>
    <row r="3852" spans="1:2" x14ac:dyDescent="0.3">
      <c r="A3852" t="s">
        <v>3198</v>
      </c>
      <c r="B3852" t="s">
        <v>3197</v>
      </c>
    </row>
    <row r="3853" spans="1:2" x14ac:dyDescent="0.3">
      <c r="A3853" t="s">
        <v>3199</v>
      </c>
      <c r="B3853" t="s">
        <v>3197</v>
      </c>
    </row>
    <row r="3854" spans="1:2" x14ac:dyDescent="0.3">
      <c r="B3854" t="s">
        <v>3197</v>
      </c>
    </row>
    <row r="3855" spans="1:2" x14ac:dyDescent="0.3">
      <c r="A3855" t="s">
        <v>3200</v>
      </c>
      <c r="B3855" t="s">
        <v>3197</v>
      </c>
    </row>
    <row r="3856" spans="1:2" x14ac:dyDescent="0.3">
      <c r="A3856" t="s">
        <v>3201</v>
      </c>
      <c r="B3856" t="s">
        <v>3197</v>
      </c>
    </row>
    <row r="3857" spans="1:2" x14ac:dyDescent="0.3">
      <c r="A3857" t="s">
        <v>3202</v>
      </c>
      <c r="B3857" t="s">
        <v>3197</v>
      </c>
    </row>
    <row r="3858" spans="1:2" x14ac:dyDescent="0.3">
      <c r="B3858" t="s">
        <v>3203</v>
      </c>
    </row>
    <row r="3859" spans="1:2" x14ac:dyDescent="0.3">
      <c r="B3859" t="s">
        <v>3203</v>
      </c>
    </row>
    <row r="3860" spans="1:2" x14ac:dyDescent="0.3">
      <c r="A3860" t="s">
        <v>3204</v>
      </c>
      <c r="B3860" t="s">
        <v>3203</v>
      </c>
    </row>
    <row r="3861" spans="1:2" x14ac:dyDescent="0.3">
      <c r="A3861" t="s">
        <v>3205</v>
      </c>
      <c r="B3861" t="s">
        <v>3203</v>
      </c>
    </row>
    <row r="3862" spans="1:2" x14ac:dyDescent="0.3">
      <c r="A3862" t="s">
        <v>3206</v>
      </c>
      <c r="B3862" t="s">
        <v>257</v>
      </c>
    </row>
    <row r="3863" spans="1:2" x14ac:dyDescent="0.3">
      <c r="A3863" t="s">
        <v>1691</v>
      </c>
      <c r="B3863" t="s">
        <v>257</v>
      </c>
    </row>
    <row r="3864" spans="1:2" x14ac:dyDescent="0.3">
      <c r="A3864" t="s">
        <v>3207</v>
      </c>
      <c r="B3864" t="s">
        <v>257</v>
      </c>
    </row>
    <row r="3865" spans="1:2" x14ac:dyDescent="0.3">
      <c r="A3865" t="s">
        <v>3208</v>
      </c>
      <c r="B3865" t="s">
        <v>896</v>
      </c>
    </row>
    <row r="3866" spans="1:2" x14ac:dyDescent="0.3">
      <c r="A3866" t="s">
        <v>3209</v>
      </c>
      <c r="B3866" t="s">
        <v>3210</v>
      </c>
    </row>
    <row r="3867" spans="1:2" x14ac:dyDescent="0.3">
      <c r="A3867" t="s">
        <v>3211</v>
      </c>
      <c r="B3867" t="s">
        <v>104</v>
      </c>
    </row>
    <row r="3868" spans="1:2" x14ac:dyDescent="0.3">
      <c r="A3868" t="s">
        <v>3212</v>
      </c>
      <c r="B3868" t="s">
        <v>104</v>
      </c>
    </row>
    <row r="3869" spans="1:2" x14ac:dyDescent="0.3">
      <c r="A3869" t="s">
        <v>3213</v>
      </c>
      <c r="B3869" t="s">
        <v>104</v>
      </c>
    </row>
    <row r="3870" spans="1:2" x14ac:dyDescent="0.3">
      <c r="A3870" t="s">
        <v>3214</v>
      </c>
      <c r="B3870" t="s">
        <v>3210</v>
      </c>
    </row>
    <row r="3871" spans="1:2" x14ac:dyDescent="0.3">
      <c r="A3871" t="s">
        <v>3215</v>
      </c>
      <c r="B3871" t="s">
        <v>3210</v>
      </c>
    </row>
    <row r="3872" spans="1:2" x14ac:dyDescent="0.3">
      <c r="A3872" t="s">
        <v>3216</v>
      </c>
      <c r="B3872" t="s">
        <v>3210</v>
      </c>
    </row>
    <row r="3873" spans="1:2" x14ac:dyDescent="0.3">
      <c r="A3873" t="s">
        <v>3217</v>
      </c>
      <c r="B3873" t="s">
        <v>3210</v>
      </c>
    </row>
    <row r="3874" spans="1:2" x14ac:dyDescent="0.3">
      <c r="A3874" t="s">
        <v>3218</v>
      </c>
      <c r="B3874" t="s">
        <v>3210</v>
      </c>
    </row>
    <row r="3875" spans="1:2" x14ac:dyDescent="0.3">
      <c r="A3875" t="s">
        <v>3219</v>
      </c>
      <c r="B3875" t="s">
        <v>3210</v>
      </c>
    </row>
    <row r="3876" spans="1:2" x14ac:dyDescent="0.3">
      <c r="A3876" t="s">
        <v>3220</v>
      </c>
      <c r="B3876" t="s">
        <v>72</v>
      </c>
    </row>
    <row r="3877" spans="1:2" x14ac:dyDescent="0.3">
      <c r="A3877" t="s">
        <v>3221</v>
      </c>
      <c r="B3877" t="s">
        <v>3210</v>
      </c>
    </row>
    <row r="3878" spans="1:2" x14ac:dyDescent="0.3">
      <c r="B3878" t="s">
        <v>172</v>
      </c>
    </row>
    <row r="3879" spans="1:2" x14ac:dyDescent="0.3">
      <c r="A3879" t="s">
        <v>3222</v>
      </c>
      <c r="B3879" t="s">
        <v>3210</v>
      </c>
    </row>
    <row r="3880" spans="1:2" x14ac:dyDescent="0.3">
      <c r="B3880" t="s">
        <v>3210</v>
      </c>
    </row>
    <row r="3881" spans="1:2" x14ac:dyDescent="0.3">
      <c r="A3881" t="s">
        <v>3223</v>
      </c>
      <c r="B3881" t="s">
        <v>103</v>
      </c>
    </row>
    <row r="3882" spans="1:2" x14ac:dyDescent="0.3">
      <c r="A3882" t="s">
        <v>3224</v>
      </c>
      <c r="B3882" t="s">
        <v>195</v>
      </c>
    </row>
    <row r="3883" spans="1:2" x14ac:dyDescent="0.3">
      <c r="A3883" t="s">
        <v>3225</v>
      </c>
      <c r="B3883" t="s">
        <v>168</v>
      </c>
    </row>
    <row r="3884" spans="1:2" x14ac:dyDescent="0.3">
      <c r="A3884" t="s">
        <v>3226</v>
      </c>
      <c r="B3884" t="s">
        <v>171</v>
      </c>
    </row>
    <row r="3885" spans="1:2" x14ac:dyDescent="0.3">
      <c r="B3885" t="s">
        <v>180</v>
      </c>
    </row>
    <row r="3886" spans="1:2" x14ac:dyDescent="0.3">
      <c r="A3886" t="s">
        <v>3227</v>
      </c>
      <c r="B3886" t="s">
        <v>174</v>
      </c>
    </row>
    <row r="3887" spans="1:2" x14ac:dyDescent="0.3">
      <c r="A3887" t="s">
        <v>3228</v>
      </c>
      <c r="B3887" t="s">
        <v>1</v>
      </c>
    </row>
    <row r="3888" spans="1:2" x14ac:dyDescent="0.3">
      <c r="A3888" t="s">
        <v>3229</v>
      </c>
      <c r="B3888" t="s">
        <v>193</v>
      </c>
    </row>
    <row r="3889" spans="1:2" x14ac:dyDescent="0.3">
      <c r="A3889" t="s">
        <v>3230</v>
      </c>
      <c r="B3889" t="s">
        <v>292</v>
      </c>
    </row>
    <row r="3890" spans="1:2" x14ac:dyDescent="0.3">
      <c r="A3890" t="s">
        <v>3231</v>
      </c>
      <c r="B3890" t="s">
        <v>292</v>
      </c>
    </row>
    <row r="3891" spans="1:2" x14ac:dyDescent="0.3">
      <c r="A3891" t="s">
        <v>3232</v>
      </c>
      <c r="B3891" t="s">
        <v>292</v>
      </c>
    </row>
    <row r="3892" spans="1:2" x14ac:dyDescent="0.3">
      <c r="A3892" t="s">
        <v>3233</v>
      </c>
      <c r="B3892" t="s">
        <v>181</v>
      </c>
    </row>
    <row r="3893" spans="1:2" x14ac:dyDescent="0.3">
      <c r="A3893" t="s">
        <v>3234</v>
      </c>
      <c r="B3893" t="s">
        <v>171</v>
      </c>
    </row>
    <row r="3894" spans="1:2" x14ac:dyDescent="0.3">
      <c r="A3894" t="s">
        <v>3235</v>
      </c>
      <c r="B3894" t="s">
        <v>175</v>
      </c>
    </row>
    <row r="3895" spans="1:2" x14ac:dyDescent="0.3">
      <c r="A3895" t="s">
        <v>3236</v>
      </c>
      <c r="B3895" t="s">
        <v>896</v>
      </c>
    </row>
    <row r="3896" spans="1:2" x14ac:dyDescent="0.3">
      <c r="A3896" t="s">
        <v>3237</v>
      </c>
      <c r="B3896" t="s">
        <v>193</v>
      </c>
    </row>
    <row r="3897" spans="1:2" x14ac:dyDescent="0.3">
      <c r="A3897" t="s">
        <v>3238</v>
      </c>
      <c r="B3897" t="s">
        <v>260</v>
      </c>
    </row>
    <row r="3898" spans="1:2" x14ac:dyDescent="0.3">
      <c r="A3898" t="s">
        <v>3239</v>
      </c>
      <c r="B3898" t="s">
        <v>1</v>
      </c>
    </row>
    <row r="3899" spans="1:2" x14ac:dyDescent="0.3">
      <c r="A3899" t="s">
        <v>3240</v>
      </c>
      <c r="B3899" t="s">
        <v>1426</v>
      </c>
    </row>
    <row r="3900" spans="1:2" x14ac:dyDescent="0.3">
      <c r="A3900" t="s">
        <v>3241</v>
      </c>
      <c r="B3900" t="s">
        <v>1</v>
      </c>
    </row>
    <row r="3901" spans="1:2" x14ac:dyDescent="0.3">
      <c r="A3901" t="s">
        <v>3242</v>
      </c>
      <c r="B3901" t="s">
        <v>1</v>
      </c>
    </row>
    <row r="3902" spans="1:2" x14ac:dyDescent="0.3">
      <c r="A3902" t="s">
        <v>3243</v>
      </c>
      <c r="B3902" t="s">
        <v>1</v>
      </c>
    </row>
    <row r="3903" spans="1:2" x14ac:dyDescent="0.3">
      <c r="A3903" t="s">
        <v>3244</v>
      </c>
      <c r="B3903" t="s">
        <v>1</v>
      </c>
    </row>
    <row r="3904" spans="1:2" x14ac:dyDescent="0.3">
      <c r="A3904" t="s">
        <v>3245</v>
      </c>
      <c r="B3904" t="s">
        <v>171</v>
      </c>
    </row>
    <row r="3905" spans="1:2" x14ac:dyDescent="0.3">
      <c r="A3905" t="s">
        <v>3246</v>
      </c>
      <c r="B3905" t="s">
        <v>1</v>
      </c>
    </row>
    <row r="3906" spans="1:2" x14ac:dyDescent="0.3">
      <c r="A3906" t="s">
        <v>3247</v>
      </c>
      <c r="B3906" t="s">
        <v>1</v>
      </c>
    </row>
    <row r="3907" spans="1:2" x14ac:dyDescent="0.3">
      <c r="A3907" t="s">
        <v>3248</v>
      </c>
      <c r="B3907" t="s">
        <v>201</v>
      </c>
    </row>
    <row r="3908" spans="1:2" x14ac:dyDescent="0.3">
      <c r="A3908" t="s">
        <v>3249</v>
      </c>
      <c r="B3908" t="s">
        <v>1</v>
      </c>
    </row>
    <row r="3909" spans="1:2" x14ac:dyDescent="0.3">
      <c r="A3909" t="s">
        <v>3250</v>
      </c>
      <c r="B3909" t="s">
        <v>1</v>
      </c>
    </row>
    <row r="3910" spans="1:2" x14ac:dyDescent="0.3">
      <c r="A3910" t="s">
        <v>3251</v>
      </c>
      <c r="B3910" t="s">
        <v>1</v>
      </c>
    </row>
    <row r="3911" spans="1:2" x14ac:dyDescent="0.3">
      <c r="A3911" t="s">
        <v>3252</v>
      </c>
      <c r="B3911" t="s">
        <v>1</v>
      </c>
    </row>
    <row r="3912" spans="1:2" x14ac:dyDescent="0.3">
      <c r="A3912" t="s">
        <v>3253</v>
      </c>
      <c r="B3912" t="s">
        <v>1</v>
      </c>
    </row>
    <row r="3913" spans="1:2" x14ac:dyDescent="0.3">
      <c r="A3913" t="s">
        <v>3254</v>
      </c>
      <c r="B3913" t="s">
        <v>1</v>
      </c>
    </row>
    <row r="3914" spans="1:2" x14ac:dyDescent="0.3">
      <c r="A3914" t="s">
        <v>3255</v>
      </c>
      <c r="B3914" t="s">
        <v>1</v>
      </c>
    </row>
    <row r="3915" spans="1:2" x14ac:dyDescent="0.3">
      <c r="A3915" t="s">
        <v>3256</v>
      </c>
      <c r="B3915" t="s">
        <v>1</v>
      </c>
    </row>
    <row r="3916" spans="1:2" x14ac:dyDescent="0.3">
      <c r="A3916" t="s">
        <v>3257</v>
      </c>
      <c r="B3916" t="s">
        <v>1</v>
      </c>
    </row>
    <row r="3917" spans="1:2" x14ac:dyDescent="0.3">
      <c r="A3917" t="s">
        <v>3258</v>
      </c>
      <c r="B3917" t="s">
        <v>1</v>
      </c>
    </row>
    <row r="3918" spans="1:2" x14ac:dyDescent="0.3">
      <c r="A3918" t="s">
        <v>3259</v>
      </c>
      <c r="B3918" t="s">
        <v>1534</v>
      </c>
    </row>
    <row r="3919" spans="1:2" x14ac:dyDescent="0.3">
      <c r="A3919" t="s">
        <v>3260</v>
      </c>
      <c r="B3919" t="s">
        <v>1</v>
      </c>
    </row>
    <row r="3920" spans="1:2" x14ac:dyDescent="0.3">
      <c r="A3920" t="s">
        <v>3261</v>
      </c>
      <c r="B3920" t="s">
        <v>1</v>
      </c>
    </row>
    <row r="3921" spans="1:2" x14ac:dyDescent="0.3">
      <c r="A3921" t="s">
        <v>3262</v>
      </c>
      <c r="B3921" t="s">
        <v>1</v>
      </c>
    </row>
    <row r="3922" spans="1:2" x14ac:dyDescent="0.3">
      <c r="A3922" t="s">
        <v>3263</v>
      </c>
      <c r="B3922" t="s">
        <v>1</v>
      </c>
    </row>
    <row r="3923" spans="1:2" x14ac:dyDescent="0.3">
      <c r="A3923" t="s">
        <v>3264</v>
      </c>
      <c r="B3923" t="s">
        <v>166</v>
      </c>
    </row>
    <row r="3924" spans="1:2" x14ac:dyDescent="0.3">
      <c r="A3924" t="s">
        <v>3265</v>
      </c>
      <c r="B3924" t="s">
        <v>176</v>
      </c>
    </row>
    <row r="3925" spans="1:2" x14ac:dyDescent="0.3">
      <c r="A3925" t="s">
        <v>3266</v>
      </c>
      <c r="B3925" t="s">
        <v>1728</v>
      </c>
    </row>
    <row r="3926" spans="1:2" x14ac:dyDescent="0.3">
      <c r="A3926" t="s">
        <v>3267</v>
      </c>
      <c r="B3926" t="s">
        <v>1</v>
      </c>
    </row>
    <row r="3927" spans="1:2" x14ac:dyDescent="0.3">
      <c r="A3927" t="s">
        <v>3268</v>
      </c>
      <c r="B3927" t="s">
        <v>176</v>
      </c>
    </row>
    <row r="3928" spans="1:2" x14ac:dyDescent="0.3">
      <c r="A3928" t="s">
        <v>3269</v>
      </c>
      <c r="B3928" t="s">
        <v>1</v>
      </c>
    </row>
    <row r="3929" spans="1:2" x14ac:dyDescent="0.3">
      <c r="A3929" t="s">
        <v>3270</v>
      </c>
      <c r="B3929" t="s">
        <v>72</v>
      </c>
    </row>
    <row r="3930" spans="1:2" x14ac:dyDescent="0.3">
      <c r="A3930" t="s">
        <v>3271</v>
      </c>
      <c r="B3930" t="s">
        <v>72</v>
      </c>
    </row>
    <row r="3931" spans="1:2" x14ac:dyDescent="0.3">
      <c r="A3931" t="s">
        <v>3272</v>
      </c>
      <c r="B3931" t="s">
        <v>1</v>
      </c>
    </row>
    <row r="3932" spans="1:2" x14ac:dyDescent="0.3">
      <c r="A3932" t="s">
        <v>3273</v>
      </c>
      <c r="B3932" t="s">
        <v>1</v>
      </c>
    </row>
    <row r="3933" spans="1:2" x14ac:dyDescent="0.3">
      <c r="A3933" t="s">
        <v>3274</v>
      </c>
      <c r="B3933" t="s">
        <v>1</v>
      </c>
    </row>
    <row r="3934" spans="1:2" x14ac:dyDescent="0.3">
      <c r="A3934" t="s">
        <v>3275</v>
      </c>
      <c r="B3934" t="s">
        <v>1</v>
      </c>
    </row>
    <row r="3935" spans="1:2" x14ac:dyDescent="0.3">
      <c r="A3935" t="s">
        <v>3276</v>
      </c>
      <c r="B3935" t="s">
        <v>1</v>
      </c>
    </row>
    <row r="3936" spans="1:2" x14ac:dyDescent="0.3">
      <c r="A3936" t="s">
        <v>3277</v>
      </c>
      <c r="B3936" t="s">
        <v>1</v>
      </c>
    </row>
    <row r="3937" spans="1:2" x14ac:dyDescent="0.3">
      <c r="A3937" t="s">
        <v>3278</v>
      </c>
      <c r="B3937" t="s">
        <v>1</v>
      </c>
    </row>
    <row r="3938" spans="1:2" x14ac:dyDescent="0.3">
      <c r="A3938" t="s">
        <v>3279</v>
      </c>
      <c r="B3938" t="s">
        <v>1</v>
      </c>
    </row>
    <row r="3939" spans="1:2" x14ac:dyDescent="0.3">
      <c r="A3939" t="s">
        <v>3280</v>
      </c>
      <c r="B3939" t="s">
        <v>1</v>
      </c>
    </row>
    <row r="3940" spans="1:2" x14ac:dyDescent="0.3">
      <c r="A3940" t="s">
        <v>3281</v>
      </c>
      <c r="B3940" t="s">
        <v>1</v>
      </c>
    </row>
    <row r="3941" spans="1:2" x14ac:dyDescent="0.3">
      <c r="A3941" t="s">
        <v>3282</v>
      </c>
      <c r="B3941" t="s">
        <v>1</v>
      </c>
    </row>
    <row r="3942" spans="1:2" x14ac:dyDescent="0.3">
      <c r="A3942" t="s">
        <v>3283</v>
      </c>
      <c r="B3942" t="s">
        <v>1</v>
      </c>
    </row>
    <row r="3943" spans="1:2" x14ac:dyDescent="0.3">
      <c r="A3943" t="s">
        <v>3284</v>
      </c>
      <c r="B3943" t="s">
        <v>1</v>
      </c>
    </row>
    <row r="3944" spans="1:2" x14ac:dyDescent="0.3">
      <c r="A3944" t="s">
        <v>3285</v>
      </c>
      <c r="B3944" t="s">
        <v>1</v>
      </c>
    </row>
    <row r="3945" spans="1:2" x14ac:dyDescent="0.3">
      <c r="A3945" t="s">
        <v>3286</v>
      </c>
      <c r="B3945" t="s">
        <v>171</v>
      </c>
    </row>
    <row r="3946" spans="1:2" x14ac:dyDescent="0.3">
      <c r="A3946" t="s">
        <v>3287</v>
      </c>
      <c r="B3946" t="s">
        <v>171</v>
      </c>
    </row>
    <row r="3947" spans="1:2" x14ac:dyDescent="0.3">
      <c r="A3947" t="s">
        <v>3288</v>
      </c>
      <c r="B3947" t="s">
        <v>263</v>
      </c>
    </row>
    <row r="3948" spans="1:2" x14ac:dyDescent="0.3">
      <c r="A3948" t="s">
        <v>3289</v>
      </c>
      <c r="B3948" t="s">
        <v>176</v>
      </c>
    </row>
    <row r="3949" spans="1:2" x14ac:dyDescent="0.3">
      <c r="A3949" t="s">
        <v>3290</v>
      </c>
      <c r="B3949" t="s">
        <v>176</v>
      </c>
    </row>
    <row r="3950" spans="1:2" x14ac:dyDescent="0.3">
      <c r="A3950" t="s">
        <v>3291</v>
      </c>
      <c r="B3950" t="s">
        <v>201</v>
      </c>
    </row>
    <row r="3951" spans="1:2" x14ac:dyDescent="0.3">
      <c r="A3951" t="s">
        <v>3292</v>
      </c>
      <c r="B3951" t="s">
        <v>164</v>
      </c>
    </row>
    <row r="3952" spans="1:2" x14ac:dyDescent="0.3">
      <c r="A3952" t="s">
        <v>3293</v>
      </c>
      <c r="B3952" t="s">
        <v>1</v>
      </c>
    </row>
    <row r="3953" spans="1:2" x14ac:dyDescent="0.3">
      <c r="A3953" t="s">
        <v>237</v>
      </c>
      <c r="B3953" t="s">
        <v>249</v>
      </c>
    </row>
    <row r="3954" spans="1:2" x14ac:dyDescent="0.3">
      <c r="A3954" t="s">
        <v>3294</v>
      </c>
      <c r="B3954" t="s">
        <v>245</v>
      </c>
    </row>
    <row r="3955" spans="1:2" x14ac:dyDescent="0.3">
      <c r="A3955" t="s">
        <v>3295</v>
      </c>
      <c r="B3955" t="s">
        <v>195</v>
      </c>
    </row>
    <row r="3956" spans="1:2" x14ac:dyDescent="0.3">
      <c r="A3956" t="s">
        <v>3203</v>
      </c>
      <c r="B3956" t="s">
        <v>171</v>
      </c>
    </row>
    <row r="3957" spans="1:2" x14ac:dyDescent="0.3">
      <c r="A3957" t="s">
        <v>3296</v>
      </c>
      <c r="B3957" t="s">
        <v>1</v>
      </c>
    </row>
    <row r="3958" spans="1:2" x14ac:dyDescent="0.3">
      <c r="A3958" t="s">
        <v>3297</v>
      </c>
      <c r="B3958" t="s">
        <v>1</v>
      </c>
    </row>
    <row r="3959" spans="1:2" x14ac:dyDescent="0.3">
      <c r="A3959" t="s">
        <v>3298</v>
      </c>
      <c r="B3959" t="s">
        <v>1</v>
      </c>
    </row>
    <row r="3960" spans="1:2" x14ac:dyDescent="0.3">
      <c r="A3960" t="s">
        <v>3299</v>
      </c>
      <c r="B3960" t="s">
        <v>1</v>
      </c>
    </row>
    <row r="3961" spans="1:2" x14ac:dyDescent="0.3">
      <c r="A3961" t="s">
        <v>3300</v>
      </c>
      <c r="B3961" t="s">
        <v>1</v>
      </c>
    </row>
    <row r="3962" spans="1:2" x14ac:dyDescent="0.3">
      <c r="A3962" t="s">
        <v>3301</v>
      </c>
      <c r="B3962" t="s">
        <v>1</v>
      </c>
    </row>
    <row r="3963" spans="1:2" x14ac:dyDescent="0.3">
      <c r="A3963" t="s">
        <v>3302</v>
      </c>
      <c r="B3963" t="s">
        <v>3173</v>
      </c>
    </row>
    <row r="3964" spans="1:2" x14ac:dyDescent="0.3">
      <c r="A3964" t="s">
        <v>3303</v>
      </c>
      <c r="B3964" t="s">
        <v>1</v>
      </c>
    </row>
    <row r="3965" spans="1:2" x14ac:dyDescent="0.3">
      <c r="A3965" t="s">
        <v>1044</v>
      </c>
      <c r="B3965" t="s">
        <v>1</v>
      </c>
    </row>
    <row r="3966" spans="1:2" x14ac:dyDescent="0.3">
      <c r="A3966" t="s">
        <v>3304</v>
      </c>
      <c r="B3966" t="s">
        <v>1</v>
      </c>
    </row>
    <row r="3967" spans="1:2" x14ac:dyDescent="0.3">
      <c r="A3967" t="s">
        <v>3305</v>
      </c>
      <c r="B3967" t="s">
        <v>3306</v>
      </c>
    </row>
    <row r="3968" spans="1:2" x14ac:dyDescent="0.3">
      <c r="A3968" t="s">
        <v>3307</v>
      </c>
      <c r="B3968" t="s">
        <v>1694</v>
      </c>
    </row>
    <row r="3969" spans="1:2" x14ac:dyDescent="0.3">
      <c r="A3969" t="s">
        <v>3308</v>
      </c>
      <c r="B3969" t="s">
        <v>3309</v>
      </c>
    </row>
    <row r="3970" spans="1:2" x14ac:dyDescent="0.3">
      <c r="A3970" t="s">
        <v>3310</v>
      </c>
      <c r="B3970" t="s">
        <v>2274</v>
      </c>
    </row>
    <row r="3971" spans="1:2" x14ac:dyDescent="0.3">
      <c r="A3971" t="s">
        <v>3311</v>
      </c>
      <c r="B3971" t="s">
        <v>166</v>
      </c>
    </row>
    <row r="3972" spans="1:2" x14ac:dyDescent="0.3">
      <c r="A3972" t="s">
        <v>3312</v>
      </c>
      <c r="B3972" t="s">
        <v>1</v>
      </c>
    </row>
    <row r="3973" spans="1:2" x14ac:dyDescent="0.3">
      <c r="B3973" t="s">
        <v>163</v>
      </c>
    </row>
    <row r="3974" spans="1:2" x14ac:dyDescent="0.3">
      <c r="A3974" t="s">
        <v>3313</v>
      </c>
      <c r="B3974" t="s">
        <v>896</v>
      </c>
    </row>
    <row r="3975" spans="1:2" x14ac:dyDescent="0.3">
      <c r="A3975" t="s">
        <v>3314</v>
      </c>
      <c r="B3975" t="s">
        <v>896</v>
      </c>
    </row>
    <row r="3976" spans="1:2" x14ac:dyDescent="0.3">
      <c r="A3976" t="s">
        <v>3315</v>
      </c>
      <c r="B3976" t="s">
        <v>1</v>
      </c>
    </row>
    <row r="3977" spans="1:2" x14ac:dyDescent="0.3">
      <c r="A3977" t="s">
        <v>3316</v>
      </c>
      <c r="B3977" t="s">
        <v>1</v>
      </c>
    </row>
    <row r="3978" spans="1:2" x14ac:dyDescent="0.3">
      <c r="A3978" t="s">
        <v>3317</v>
      </c>
      <c r="B3978" t="s">
        <v>176</v>
      </c>
    </row>
    <row r="3979" spans="1:2" x14ac:dyDescent="0.3">
      <c r="A3979" t="s">
        <v>3318</v>
      </c>
      <c r="B3979" t="s">
        <v>175</v>
      </c>
    </row>
    <row r="3980" spans="1:2" x14ac:dyDescent="0.3">
      <c r="A3980" t="s">
        <v>3319</v>
      </c>
      <c r="B3980" t="s">
        <v>1</v>
      </c>
    </row>
    <row r="3981" spans="1:2" x14ac:dyDescent="0.3">
      <c r="A3981" t="s">
        <v>3320</v>
      </c>
      <c r="B3981" t="s">
        <v>1</v>
      </c>
    </row>
    <row r="3982" spans="1:2" x14ac:dyDescent="0.3">
      <c r="A3982" t="s">
        <v>3321</v>
      </c>
      <c r="B3982" t="s">
        <v>1</v>
      </c>
    </row>
    <row r="3983" spans="1:2" x14ac:dyDescent="0.3">
      <c r="A3983" t="s">
        <v>3322</v>
      </c>
      <c r="B3983" t="s">
        <v>193</v>
      </c>
    </row>
    <row r="3984" spans="1:2" x14ac:dyDescent="0.3">
      <c r="A3984" t="s">
        <v>3323</v>
      </c>
      <c r="B3984" t="s">
        <v>190</v>
      </c>
    </row>
    <row r="3985" spans="1:2" x14ac:dyDescent="0.3">
      <c r="A3985" t="s">
        <v>3324</v>
      </c>
      <c r="B3985" t="s">
        <v>182</v>
      </c>
    </row>
    <row r="3986" spans="1:2" x14ac:dyDescent="0.3">
      <c r="A3986" t="s">
        <v>3325</v>
      </c>
      <c r="B3986" t="s">
        <v>2437</v>
      </c>
    </row>
    <row r="3987" spans="1:2" x14ac:dyDescent="0.3">
      <c r="A3987" t="s">
        <v>3326</v>
      </c>
      <c r="B3987" t="s">
        <v>172</v>
      </c>
    </row>
    <row r="3988" spans="1:2" x14ac:dyDescent="0.3">
      <c r="A3988" t="s">
        <v>3327</v>
      </c>
      <c r="B3988" t="s">
        <v>1728</v>
      </c>
    </row>
    <row r="3989" spans="1:2" x14ac:dyDescent="0.3">
      <c r="A3989" t="s">
        <v>3328</v>
      </c>
      <c r="B3989" t="s">
        <v>1680</v>
      </c>
    </row>
    <row r="3990" spans="1:2" x14ac:dyDescent="0.3">
      <c r="A3990" t="s">
        <v>3329</v>
      </c>
      <c r="B3990" t="s">
        <v>176</v>
      </c>
    </row>
    <row r="3991" spans="1:2" x14ac:dyDescent="0.3">
      <c r="A3991" t="s">
        <v>3330</v>
      </c>
      <c r="B3991" t="s">
        <v>1</v>
      </c>
    </row>
    <row r="3992" spans="1:2" x14ac:dyDescent="0.3">
      <c r="A3992" t="s">
        <v>3331</v>
      </c>
      <c r="B3992" t="s">
        <v>1</v>
      </c>
    </row>
    <row r="3993" spans="1:2" x14ac:dyDescent="0.3">
      <c r="A3993" t="s">
        <v>3332</v>
      </c>
      <c r="B3993" t="s">
        <v>1</v>
      </c>
    </row>
    <row r="3994" spans="1:2" x14ac:dyDescent="0.3">
      <c r="A3994" t="s">
        <v>3333</v>
      </c>
      <c r="B3994" t="s">
        <v>1</v>
      </c>
    </row>
    <row r="3995" spans="1:2" x14ac:dyDescent="0.3">
      <c r="A3995" t="s">
        <v>3334</v>
      </c>
      <c r="B3995" t="s">
        <v>1728</v>
      </c>
    </row>
    <row r="3996" spans="1:2" x14ac:dyDescent="0.3">
      <c r="A3996" t="s">
        <v>3335</v>
      </c>
      <c r="B3996" t="s">
        <v>1</v>
      </c>
    </row>
    <row r="3997" spans="1:2" x14ac:dyDescent="0.3">
      <c r="A3997" t="s">
        <v>3336</v>
      </c>
      <c r="B3997" t="s">
        <v>1728</v>
      </c>
    </row>
    <row r="3998" spans="1:2" x14ac:dyDescent="0.3">
      <c r="A3998" t="s">
        <v>3337</v>
      </c>
      <c r="B3998" t="s">
        <v>3338</v>
      </c>
    </row>
    <row r="3999" spans="1:2" x14ac:dyDescent="0.3">
      <c r="A3999" t="s">
        <v>3339</v>
      </c>
      <c r="B3999" t="s">
        <v>172</v>
      </c>
    </row>
    <row r="4000" spans="1:2" x14ac:dyDescent="0.3">
      <c r="A4000" t="s">
        <v>3340</v>
      </c>
      <c r="B4000" t="s">
        <v>172</v>
      </c>
    </row>
    <row r="4001" spans="1:2" x14ac:dyDescent="0.3">
      <c r="A4001" t="s">
        <v>3341</v>
      </c>
      <c r="B4001" t="s">
        <v>176</v>
      </c>
    </row>
    <row r="4002" spans="1:2" x14ac:dyDescent="0.3">
      <c r="A4002" t="s">
        <v>3342</v>
      </c>
      <c r="B4002" t="s">
        <v>176</v>
      </c>
    </row>
    <row r="4003" spans="1:2" x14ac:dyDescent="0.3">
      <c r="A4003" t="s">
        <v>3343</v>
      </c>
      <c r="B4003" t="s">
        <v>176</v>
      </c>
    </row>
    <row r="4004" spans="1:2" x14ac:dyDescent="0.3">
      <c r="A4004" t="s">
        <v>3344</v>
      </c>
      <c r="B4004" t="s">
        <v>166</v>
      </c>
    </row>
    <row r="4005" spans="1:2" x14ac:dyDescent="0.3">
      <c r="A4005" t="s">
        <v>3345</v>
      </c>
      <c r="B4005" t="s">
        <v>1</v>
      </c>
    </row>
    <row r="4006" spans="1:2" x14ac:dyDescent="0.3">
      <c r="A4006" t="s">
        <v>3346</v>
      </c>
      <c r="B4006" t="s">
        <v>1</v>
      </c>
    </row>
    <row r="4007" spans="1:2" x14ac:dyDescent="0.3">
      <c r="A4007" t="s">
        <v>3347</v>
      </c>
      <c r="B4007" t="s">
        <v>1</v>
      </c>
    </row>
    <row r="4008" spans="1:2" x14ac:dyDescent="0.3">
      <c r="A4008" t="s">
        <v>3348</v>
      </c>
      <c r="B4008" t="s">
        <v>1</v>
      </c>
    </row>
    <row r="4009" spans="1:2" x14ac:dyDescent="0.3">
      <c r="A4009" t="s">
        <v>3349</v>
      </c>
      <c r="B4009" t="s">
        <v>1</v>
      </c>
    </row>
    <row r="4010" spans="1:2" x14ac:dyDescent="0.3">
      <c r="A4010" t="s">
        <v>3350</v>
      </c>
      <c r="B4010" t="s">
        <v>1</v>
      </c>
    </row>
    <row r="4011" spans="1:2" x14ac:dyDescent="0.3">
      <c r="A4011" t="s">
        <v>3351</v>
      </c>
      <c r="B4011" t="s">
        <v>166</v>
      </c>
    </row>
    <row r="4012" spans="1:2" x14ac:dyDescent="0.3">
      <c r="A4012" t="s">
        <v>3352</v>
      </c>
      <c r="B4012" t="s">
        <v>3353</v>
      </c>
    </row>
    <row r="4013" spans="1:2" x14ac:dyDescent="0.3">
      <c r="A4013" t="s">
        <v>3354</v>
      </c>
      <c r="B4013" t="s">
        <v>176</v>
      </c>
    </row>
    <row r="4014" spans="1:2" x14ac:dyDescent="0.3">
      <c r="A4014" t="s">
        <v>3355</v>
      </c>
      <c r="B4014" t="s">
        <v>245</v>
      </c>
    </row>
    <row r="4015" spans="1:2" x14ac:dyDescent="0.3">
      <c r="A4015" t="s">
        <v>3356</v>
      </c>
      <c r="B4015" t="s">
        <v>1</v>
      </c>
    </row>
    <row r="4016" spans="1:2" x14ac:dyDescent="0.3">
      <c r="B4016" t="s">
        <v>245</v>
      </c>
    </row>
    <row r="4017" spans="1:2" x14ac:dyDescent="0.3">
      <c r="A4017" t="s">
        <v>3357</v>
      </c>
      <c r="B4017" t="s">
        <v>1</v>
      </c>
    </row>
    <row r="4018" spans="1:2" x14ac:dyDescent="0.3">
      <c r="A4018" t="s">
        <v>3358</v>
      </c>
      <c r="B4018" t="s">
        <v>1538</v>
      </c>
    </row>
    <row r="4019" spans="1:2" x14ac:dyDescent="0.3">
      <c r="A4019" t="s">
        <v>3359</v>
      </c>
      <c r="B4019" t="s">
        <v>2249</v>
      </c>
    </row>
    <row r="4020" spans="1:2" x14ac:dyDescent="0.3">
      <c r="A4020" t="s">
        <v>3360</v>
      </c>
      <c r="B4020" t="s">
        <v>1</v>
      </c>
    </row>
    <row r="4021" spans="1:2" x14ac:dyDescent="0.3">
      <c r="A4021" t="s">
        <v>54</v>
      </c>
      <c r="B4021" t="s">
        <v>1</v>
      </c>
    </row>
    <row r="4022" spans="1:2" x14ac:dyDescent="0.3">
      <c r="A4022" t="s">
        <v>3361</v>
      </c>
      <c r="B4022" t="s">
        <v>168</v>
      </c>
    </row>
    <row r="4023" spans="1:2" x14ac:dyDescent="0.3">
      <c r="A4023" t="s">
        <v>3362</v>
      </c>
      <c r="B4023" t="s">
        <v>175</v>
      </c>
    </row>
    <row r="4024" spans="1:2" x14ac:dyDescent="0.3">
      <c r="A4024" t="s">
        <v>3363</v>
      </c>
      <c r="B4024" t="s">
        <v>175</v>
      </c>
    </row>
    <row r="4025" spans="1:2" x14ac:dyDescent="0.3">
      <c r="A4025" t="s">
        <v>3364</v>
      </c>
      <c r="B4025" t="s">
        <v>175</v>
      </c>
    </row>
    <row r="4026" spans="1:2" x14ac:dyDescent="0.3">
      <c r="A4026" t="s">
        <v>3365</v>
      </c>
      <c r="B4026" t="s">
        <v>175</v>
      </c>
    </row>
    <row r="4027" spans="1:2" x14ac:dyDescent="0.3">
      <c r="A4027" t="s">
        <v>3366</v>
      </c>
      <c r="B4027" t="s">
        <v>175</v>
      </c>
    </row>
    <row r="4028" spans="1:2" x14ac:dyDescent="0.3">
      <c r="A4028" t="s">
        <v>3367</v>
      </c>
      <c r="B4028" t="s">
        <v>1</v>
      </c>
    </row>
    <row r="4029" spans="1:2" x14ac:dyDescent="0.3">
      <c r="B4029" t="s">
        <v>168</v>
      </c>
    </row>
    <row r="4030" spans="1:2" x14ac:dyDescent="0.3">
      <c r="B4030" t="s">
        <v>168</v>
      </c>
    </row>
    <row r="4031" spans="1:2" x14ac:dyDescent="0.3">
      <c r="B4031" t="s">
        <v>168</v>
      </c>
    </row>
    <row r="4032" spans="1:2" x14ac:dyDescent="0.3">
      <c r="A4032" t="s">
        <v>3368</v>
      </c>
      <c r="B4032" t="s">
        <v>193</v>
      </c>
    </row>
    <row r="4033" spans="1:2" x14ac:dyDescent="0.3">
      <c r="A4033" t="s">
        <v>3369</v>
      </c>
      <c r="B4033" t="s">
        <v>201</v>
      </c>
    </row>
    <row r="4034" spans="1:2" x14ac:dyDescent="0.3">
      <c r="A4034" t="s">
        <v>3370</v>
      </c>
      <c r="B4034" t="s">
        <v>896</v>
      </c>
    </row>
    <row r="4035" spans="1:2" x14ac:dyDescent="0.3">
      <c r="A4035" t="s">
        <v>3371</v>
      </c>
      <c r="B4035" t="s">
        <v>896</v>
      </c>
    </row>
    <row r="4036" spans="1:2" x14ac:dyDescent="0.3">
      <c r="A4036" t="s">
        <v>3372</v>
      </c>
      <c r="B4036" t="s">
        <v>176</v>
      </c>
    </row>
    <row r="4037" spans="1:2" x14ac:dyDescent="0.3">
      <c r="A4037" t="s">
        <v>3373</v>
      </c>
      <c r="B4037" t="s">
        <v>176</v>
      </c>
    </row>
    <row r="4038" spans="1:2" x14ac:dyDescent="0.3">
      <c r="A4038" t="s">
        <v>3374</v>
      </c>
      <c r="B4038" t="s">
        <v>3375</v>
      </c>
    </row>
    <row r="4039" spans="1:2" x14ac:dyDescent="0.3">
      <c r="A4039" t="s">
        <v>3376</v>
      </c>
      <c r="B4039" t="s">
        <v>1</v>
      </c>
    </row>
    <row r="4040" spans="1:2" x14ac:dyDescent="0.3">
      <c r="A4040" t="s">
        <v>3377</v>
      </c>
      <c r="B4040" t="s">
        <v>176</v>
      </c>
    </row>
    <row r="4041" spans="1:2" x14ac:dyDescent="0.3">
      <c r="A4041" t="s">
        <v>3378</v>
      </c>
      <c r="B4041" t="s">
        <v>176</v>
      </c>
    </row>
    <row r="4042" spans="1:2" x14ac:dyDescent="0.3">
      <c r="A4042" t="s">
        <v>3379</v>
      </c>
      <c r="B4042" t="s">
        <v>184</v>
      </c>
    </row>
    <row r="4043" spans="1:2" x14ac:dyDescent="0.3">
      <c r="A4043" t="s">
        <v>3380</v>
      </c>
      <c r="B4043" t="s">
        <v>896</v>
      </c>
    </row>
    <row r="4044" spans="1:2" x14ac:dyDescent="0.3">
      <c r="A4044" t="s">
        <v>2437</v>
      </c>
      <c r="B4044" t="s">
        <v>896</v>
      </c>
    </row>
    <row r="4045" spans="1:2" x14ac:dyDescent="0.3">
      <c r="A4045" t="s">
        <v>3381</v>
      </c>
      <c r="B4045" t="s">
        <v>896</v>
      </c>
    </row>
    <row r="4046" spans="1:2" x14ac:dyDescent="0.3">
      <c r="A4046" t="s">
        <v>3382</v>
      </c>
      <c r="B4046" t="s">
        <v>896</v>
      </c>
    </row>
    <row r="4047" spans="1:2" x14ac:dyDescent="0.3">
      <c r="A4047" t="s">
        <v>3383</v>
      </c>
      <c r="B4047" t="s">
        <v>896</v>
      </c>
    </row>
    <row r="4048" spans="1:2" x14ac:dyDescent="0.3">
      <c r="A4048" t="s">
        <v>3384</v>
      </c>
      <c r="B4048" t="s">
        <v>896</v>
      </c>
    </row>
    <row r="4049" spans="1:2" x14ac:dyDescent="0.3">
      <c r="A4049" t="s">
        <v>3385</v>
      </c>
      <c r="B4049" t="s">
        <v>896</v>
      </c>
    </row>
    <row r="4050" spans="1:2" x14ac:dyDescent="0.3">
      <c r="A4050" t="s">
        <v>3386</v>
      </c>
      <c r="B4050" t="s">
        <v>896</v>
      </c>
    </row>
    <row r="4051" spans="1:2" x14ac:dyDescent="0.3">
      <c r="A4051" t="s">
        <v>3387</v>
      </c>
      <c r="B4051" t="s">
        <v>175</v>
      </c>
    </row>
    <row r="4052" spans="1:2" x14ac:dyDescent="0.3">
      <c r="A4052" t="s">
        <v>3388</v>
      </c>
      <c r="B4052" t="s">
        <v>1176</v>
      </c>
    </row>
    <row r="4053" spans="1:2" x14ac:dyDescent="0.3">
      <c r="A4053" t="s">
        <v>3389</v>
      </c>
      <c r="B4053" t="s">
        <v>912</v>
      </c>
    </row>
    <row r="4054" spans="1:2" x14ac:dyDescent="0.3">
      <c r="A4054" t="s">
        <v>159</v>
      </c>
      <c r="B4054" t="s">
        <v>904</v>
      </c>
    </row>
    <row r="4055" spans="1:2" x14ac:dyDescent="0.3">
      <c r="B4055" t="s">
        <v>263</v>
      </c>
    </row>
    <row r="4056" spans="1:2" x14ac:dyDescent="0.3">
      <c r="B4056" t="s">
        <v>263</v>
      </c>
    </row>
    <row r="4057" spans="1:2" x14ac:dyDescent="0.3">
      <c r="A4057" t="s">
        <v>3390</v>
      </c>
      <c r="B4057" t="s">
        <v>72</v>
      </c>
    </row>
    <row r="4058" spans="1:2" x14ac:dyDescent="0.3">
      <c r="A4058" t="s">
        <v>3391</v>
      </c>
      <c r="B4058" t="s">
        <v>72</v>
      </c>
    </row>
    <row r="4059" spans="1:2" x14ac:dyDescent="0.3">
      <c r="A4059" t="s">
        <v>3392</v>
      </c>
      <c r="B4059" t="s">
        <v>1</v>
      </c>
    </row>
    <row r="4060" spans="1:2" x14ac:dyDescent="0.3">
      <c r="A4060" t="s">
        <v>3393</v>
      </c>
      <c r="B4060" t="s">
        <v>896</v>
      </c>
    </row>
    <row r="4061" spans="1:2" x14ac:dyDescent="0.3">
      <c r="A4061" t="s">
        <v>3394</v>
      </c>
      <c r="B4061" t="s">
        <v>1</v>
      </c>
    </row>
    <row r="4062" spans="1:2" x14ac:dyDescent="0.3">
      <c r="A4062" t="s">
        <v>3395</v>
      </c>
      <c r="B4062" t="s">
        <v>1743</v>
      </c>
    </row>
    <row r="4063" spans="1:2" x14ac:dyDescent="0.3">
      <c r="A4063" t="s">
        <v>3396</v>
      </c>
      <c r="B4063" t="s">
        <v>1743</v>
      </c>
    </row>
    <row r="4064" spans="1:2" x14ac:dyDescent="0.3">
      <c r="A4064" t="s">
        <v>3397</v>
      </c>
      <c r="B4064" t="s">
        <v>1743</v>
      </c>
    </row>
    <row r="4065" spans="1:2" x14ac:dyDescent="0.3">
      <c r="A4065" t="s">
        <v>3398</v>
      </c>
      <c r="B4065" t="s">
        <v>1743</v>
      </c>
    </row>
    <row r="4066" spans="1:2" x14ac:dyDescent="0.3">
      <c r="A4066" t="s">
        <v>3399</v>
      </c>
      <c r="B4066" t="s">
        <v>1743</v>
      </c>
    </row>
    <row r="4067" spans="1:2" x14ac:dyDescent="0.3">
      <c r="A4067" t="s">
        <v>3400</v>
      </c>
      <c r="B4067" t="s">
        <v>1743</v>
      </c>
    </row>
    <row r="4068" spans="1:2" x14ac:dyDescent="0.3">
      <c r="A4068" t="s">
        <v>3401</v>
      </c>
      <c r="B4068" t="s">
        <v>1743</v>
      </c>
    </row>
    <row r="4069" spans="1:2" x14ac:dyDescent="0.3">
      <c r="A4069" t="s">
        <v>3402</v>
      </c>
      <c r="B4069" t="s">
        <v>1743</v>
      </c>
    </row>
    <row r="4070" spans="1:2" x14ac:dyDescent="0.3">
      <c r="A4070" t="s">
        <v>3403</v>
      </c>
      <c r="B4070" t="s">
        <v>1743</v>
      </c>
    </row>
    <row r="4071" spans="1:2" x14ac:dyDescent="0.3">
      <c r="A4071" t="s">
        <v>3404</v>
      </c>
      <c r="B4071" t="s">
        <v>1743</v>
      </c>
    </row>
    <row r="4072" spans="1:2" x14ac:dyDescent="0.3">
      <c r="A4072" t="s">
        <v>3405</v>
      </c>
      <c r="B4072" t="s">
        <v>1743</v>
      </c>
    </row>
    <row r="4073" spans="1:2" x14ac:dyDescent="0.3">
      <c r="A4073" t="s">
        <v>3406</v>
      </c>
      <c r="B4073" t="s">
        <v>1743</v>
      </c>
    </row>
    <row r="4074" spans="1:2" x14ac:dyDescent="0.3">
      <c r="A4074" t="s">
        <v>3407</v>
      </c>
      <c r="B4074" t="s">
        <v>1743</v>
      </c>
    </row>
    <row r="4075" spans="1:2" x14ac:dyDescent="0.3">
      <c r="A4075" t="s">
        <v>3408</v>
      </c>
      <c r="B4075" t="s">
        <v>1743</v>
      </c>
    </row>
    <row r="4076" spans="1:2" x14ac:dyDescent="0.3">
      <c r="A4076" t="s">
        <v>3409</v>
      </c>
      <c r="B4076" t="s">
        <v>1743</v>
      </c>
    </row>
    <row r="4077" spans="1:2" x14ac:dyDescent="0.3">
      <c r="A4077" t="s">
        <v>3410</v>
      </c>
      <c r="B4077" t="s">
        <v>1743</v>
      </c>
    </row>
    <row r="4078" spans="1:2" x14ac:dyDescent="0.3">
      <c r="A4078" t="s">
        <v>3411</v>
      </c>
      <c r="B4078" t="s">
        <v>1743</v>
      </c>
    </row>
    <row r="4079" spans="1:2" x14ac:dyDescent="0.3">
      <c r="A4079" t="s">
        <v>3412</v>
      </c>
      <c r="B4079" t="s">
        <v>1743</v>
      </c>
    </row>
    <row r="4080" spans="1:2" x14ac:dyDescent="0.3">
      <c r="A4080" t="s">
        <v>3413</v>
      </c>
      <c r="B4080" t="s">
        <v>1743</v>
      </c>
    </row>
    <row r="4081" spans="1:2" x14ac:dyDescent="0.3">
      <c r="A4081" t="s">
        <v>3414</v>
      </c>
      <c r="B4081" t="s">
        <v>896</v>
      </c>
    </row>
    <row r="4082" spans="1:2" x14ac:dyDescent="0.3">
      <c r="A4082" t="s">
        <v>3415</v>
      </c>
      <c r="B4082" t="s">
        <v>180</v>
      </c>
    </row>
    <row r="4083" spans="1:2" x14ac:dyDescent="0.3">
      <c r="A4083" t="s">
        <v>3416</v>
      </c>
      <c r="B4083" t="s">
        <v>180</v>
      </c>
    </row>
    <row r="4084" spans="1:2" x14ac:dyDescent="0.3">
      <c r="A4084" t="s">
        <v>3417</v>
      </c>
      <c r="B4084" t="s">
        <v>180</v>
      </c>
    </row>
    <row r="4085" spans="1:2" x14ac:dyDescent="0.3">
      <c r="A4085" t="s">
        <v>3418</v>
      </c>
      <c r="B4085" t="s">
        <v>180</v>
      </c>
    </row>
    <row r="4086" spans="1:2" x14ac:dyDescent="0.3">
      <c r="A4086" t="s">
        <v>3419</v>
      </c>
      <c r="B4086" t="s">
        <v>180</v>
      </c>
    </row>
    <row r="4087" spans="1:2" x14ac:dyDescent="0.3">
      <c r="A4087" t="s">
        <v>3420</v>
      </c>
      <c r="B4087" t="s">
        <v>180</v>
      </c>
    </row>
    <row r="4088" spans="1:2" x14ac:dyDescent="0.3">
      <c r="A4088" t="s">
        <v>3421</v>
      </c>
      <c r="B4088" t="s">
        <v>180</v>
      </c>
    </row>
    <row r="4089" spans="1:2" x14ac:dyDescent="0.3">
      <c r="A4089" t="s">
        <v>3422</v>
      </c>
      <c r="B4089" t="s">
        <v>164</v>
      </c>
    </row>
    <row r="4090" spans="1:2" x14ac:dyDescent="0.3">
      <c r="A4090" t="s">
        <v>3423</v>
      </c>
      <c r="B4090" t="s">
        <v>72</v>
      </c>
    </row>
    <row r="4091" spans="1:2" x14ac:dyDescent="0.3">
      <c r="A4091" t="s">
        <v>3424</v>
      </c>
      <c r="B4091" t="s">
        <v>193</v>
      </c>
    </row>
    <row r="4092" spans="1:2" x14ac:dyDescent="0.3">
      <c r="A4092" t="s">
        <v>3425</v>
      </c>
      <c r="B4092" t="s">
        <v>193</v>
      </c>
    </row>
    <row r="4093" spans="1:2" x14ac:dyDescent="0.3">
      <c r="A4093" t="s">
        <v>3426</v>
      </c>
      <c r="B4093" t="s">
        <v>193</v>
      </c>
    </row>
    <row r="4094" spans="1:2" x14ac:dyDescent="0.3">
      <c r="A4094" t="s">
        <v>3427</v>
      </c>
      <c r="B4094" t="s">
        <v>193</v>
      </c>
    </row>
    <row r="4095" spans="1:2" x14ac:dyDescent="0.3">
      <c r="A4095" t="s">
        <v>3428</v>
      </c>
      <c r="B4095" t="s">
        <v>193</v>
      </c>
    </row>
    <row r="4096" spans="1:2" x14ac:dyDescent="0.3">
      <c r="A4096" t="s">
        <v>3429</v>
      </c>
      <c r="B4096" t="s">
        <v>193</v>
      </c>
    </row>
    <row r="4097" spans="1:2" x14ac:dyDescent="0.3">
      <c r="A4097" t="s">
        <v>3430</v>
      </c>
      <c r="B4097" t="s">
        <v>72</v>
      </c>
    </row>
    <row r="4098" spans="1:2" x14ac:dyDescent="0.3">
      <c r="A4098" t="s">
        <v>3431</v>
      </c>
      <c r="B4098" t="s">
        <v>193</v>
      </c>
    </row>
    <row r="4099" spans="1:2" x14ac:dyDescent="0.3">
      <c r="A4099" t="s">
        <v>3432</v>
      </c>
      <c r="B4099" t="s">
        <v>72</v>
      </c>
    </row>
    <row r="4100" spans="1:2" x14ac:dyDescent="0.3">
      <c r="A4100" t="s">
        <v>3433</v>
      </c>
      <c r="B4100" t="s">
        <v>72</v>
      </c>
    </row>
    <row r="4101" spans="1:2" x14ac:dyDescent="0.3">
      <c r="A4101" t="s">
        <v>3434</v>
      </c>
      <c r="B4101" t="s">
        <v>182</v>
      </c>
    </row>
    <row r="4102" spans="1:2" x14ac:dyDescent="0.3">
      <c r="A4102" t="s">
        <v>3435</v>
      </c>
      <c r="B4102" t="s">
        <v>901</v>
      </c>
    </row>
    <row r="4103" spans="1:2" x14ac:dyDescent="0.3">
      <c r="B4103" t="s">
        <v>182</v>
      </c>
    </row>
    <row r="4104" spans="1:2" x14ac:dyDescent="0.3">
      <c r="B4104" t="s">
        <v>182</v>
      </c>
    </row>
    <row r="4105" spans="1:2" x14ac:dyDescent="0.3">
      <c r="A4105" t="s">
        <v>3436</v>
      </c>
      <c r="B4105" t="s">
        <v>182</v>
      </c>
    </row>
    <row r="4106" spans="1:2" x14ac:dyDescent="0.3">
      <c r="A4106" t="s">
        <v>3437</v>
      </c>
      <c r="B4106" t="s">
        <v>182</v>
      </c>
    </row>
    <row r="4107" spans="1:2" x14ac:dyDescent="0.3">
      <c r="A4107" t="s">
        <v>3438</v>
      </c>
      <c r="B4107" t="s">
        <v>1</v>
      </c>
    </row>
    <row r="4108" spans="1:2" x14ac:dyDescent="0.3">
      <c r="A4108" t="s">
        <v>3439</v>
      </c>
      <c r="B4108" t="s">
        <v>171</v>
      </c>
    </row>
    <row r="4109" spans="1:2" x14ac:dyDescent="0.3">
      <c r="A4109" t="s">
        <v>3440</v>
      </c>
      <c r="B4109" t="s">
        <v>171</v>
      </c>
    </row>
    <row r="4110" spans="1:2" x14ac:dyDescent="0.3">
      <c r="A4110" t="s">
        <v>3441</v>
      </c>
      <c r="B4110" t="s">
        <v>1</v>
      </c>
    </row>
    <row r="4111" spans="1:2" x14ac:dyDescent="0.3">
      <c r="A4111" t="s">
        <v>3442</v>
      </c>
      <c r="B4111" t="s">
        <v>1</v>
      </c>
    </row>
    <row r="4112" spans="1:2" x14ac:dyDescent="0.3">
      <c r="A4112" t="s">
        <v>3443</v>
      </c>
      <c r="B4112" t="s">
        <v>171</v>
      </c>
    </row>
    <row r="4113" spans="1:2" x14ac:dyDescent="0.3">
      <c r="A4113" t="s">
        <v>3444</v>
      </c>
      <c r="B4113" t="s">
        <v>1</v>
      </c>
    </row>
    <row r="4114" spans="1:2" x14ac:dyDescent="0.3">
      <c r="A4114" t="s">
        <v>3445</v>
      </c>
      <c r="B4114" t="s">
        <v>1</v>
      </c>
    </row>
    <row r="4115" spans="1:2" x14ac:dyDescent="0.3">
      <c r="A4115" t="s">
        <v>3446</v>
      </c>
      <c r="B4115" t="s">
        <v>1</v>
      </c>
    </row>
    <row r="4116" spans="1:2" x14ac:dyDescent="0.3">
      <c r="A4116" t="s">
        <v>3447</v>
      </c>
      <c r="B4116" t="s">
        <v>1</v>
      </c>
    </row>
    <row r="4117" spans="1:2" x14ac:dyDescent="0.3">
      <c r="A4117" t="s">
        <v>3448</v>
      </c>
      <c r="B4117" t="s">
        <v>1</v>
      </c>
    </row>
    <row r="4118" spans="1:2" x14ac:dyDescent="0.3">
      <c r="A4118" t="s">
        <v>3449</v>
      </c>
      <c r="B4118" t="s">
        <v>1</v>
      </c>
    </row>
    <row r="4119" spans="1:2" x14ac:dyDescent="0.3">
      <c r="A4119" t="s">
        <v>3450</v>
      </c>
      <c r="B4119" t="s">
        <v>1</v>
      </c>
    </row>
    <row r="4120" spans="1:2" x14ac:dyDescent="0.3">
      <c r="A4120" t="s">
        <v>3451</v>
      </c>
      <c r="B4120" t="s">
        <v>1</v>
      </c>
    </row>
    <row r="4121" spans="1:2" x14ac:dyDescent="0.3">
      <c r="A4121" t="s">
        <v>3452</v>
      </c>
      <c r="B4121" t="s">
        <v>1</v>
      </c>
    </row>
    <row r="4122" spans="1:2" x14ac:dyDescent="0.3">
      <c r="A4122" t="s">
        <v>3453</v>
      </c>
      <c r="B4122" t="s">
        <v>1</v>
      </c>
    </row>
    <row r="4123" spans="1:2" x14ac:dyDescent="0.3">
      <c r="B4123" t="s">
        <v>2469</v>
      </c>
    </row>
    <row r="4124" spans="1:2" x14ac:dyDescent="0.3">
      <c r="A4124" t="s">
        <v>3454</v>
      </c>
      <c r="B4124" t="s">
        <v>180</v>
      </c>
    </row>
    <row r="4125" spans="1:2" x14ac:dyDescent="0.3">
      <c r="A4125" t="s">
        <v>3455</v>
      </c>
      <c r="B4125" t="s">
        <v>1</v>
      </c>
    </row>
    <row r="4126" spans="1:2" x14ac:dyDescent="0.3">
      <c r="A4126" t="s">
        <v>3456</v>
      </c>
      <c r="B4126" t="s">
        <v>1107</v>
      </c>
    </row>
    <row r="4127" spans="1:2" x14ac:dyDescent="0.3">
      <c r="A4127" t="s">
        <v>3457</v>
      </c>
      <c r="B4127" t="s">
        <v>172</v>
      </c>
    </row>
    <row r="4128" spans="1:2" x14ac:dyDescent="0.3">
      <c r="A4128" t="s">
        <v>3458</v>
      </c>
      <c r="B4128" t="s">
        <v>172</v>
      </c>
    </row>
    <row r="4129" spans="1:2" x14ac:dyDescent="0.3">
      <c r="A4129" t="s">
        <v>3459</v>
      </c>
      <c r="B4129" t="s">
        <v>172</v>
      </c>
    </row>
    <row r="4130" spans="1:2" x14ac:dyDescent="0.3">
      <c r="A4130" t="s">
        <v>3460</v>
      </c>
      <c r="B4130" t="s">
        <v>172</v>
      </c>
    </row>
    <row r="4131" spans="1:2" x14ac:dyDescent="0.3">
      <c r="B4131" t="s">
        <v>172</v>
      </c>
    </row>
    <row r="4132" spans="1:2" x14ac:dyDescent="0.3">
      <c r="B4132" t="s">
        <v>172</v>
      </c>
    </row>
    <row r="4133" spans="1:2" x14ac:dyDescent="0.3">
      <c r="A4133" t="s">
        <v>3461</v>
      </c>
      <c r="B4133" t="s">
        <v>1718</v>
      </c>
    </row>
    <row r="4134" spans="1:2" x14ac:dyDescent="0.3">
      <c r="B4134" t="s">
        <v>1107</v>
      </c>
    </row>
    <row r="4135" spans="1:2" x14ac:dyDescent="0.3">
      <c r="A4135" t="s">
        <v>3462</v>
      </c>
      <c r="B4135" t="s">
        <v>172</v>
      </c>
    </row>
    <row r="4136" spans="1:2" x14ac:dyDescent="0.3">
      <c r="B4136" t="s">
        <v>172</v>
      </c>
    </row>
    <row r="4137" spans="1:2" x14ac:dyDescent="0.3">
      <c r="A4137" t="s">
        <v>3463</v>
      </c>
      <c r="B4137" t="s">
        <v>2208</v>
      </c>
    </row>
    <row r="4138" spans="1:2" x14ac:dyDescent="0.3">
      <c r="A4138" t="s">
        <v>3464</v>
      </c>
      <c r="B4138" t="s">
        <v>292</v>
      </c>
    </row>
    <row r="4139" spans="1:2" x14ac:dyDescent="0.3">
      <c r="A4139" t="s">
        <v>3465</v>
      </c>
      <c r="B4139" t="s">
        <v>2309</v>
      </c>
    </row>
    <row r="4140" spans="1:2" x14ac:dyDescent="0.3">
      <c r="A4140" t="s">
        <v>3466</v>
      </c>
      <c r="B4140" t="s">
        <v>1</v>
      </c>
    </row>
    <row r="4141" spans="1:2" x14ac:dyDescent="0.3">
      <c r="B4141" t="s">
        <v>1</v>
      </c>
    </row>
    <row r="4142" spans="1:2" x14ac:dyDescent="0.3">
      <c r="A4142" t="s">
        <v>3467</v>
      </c>
      <c r="B4142" t="s">
        <v>759</v>
      </c>
    </row>
    <row r="4143" spans="1:2" x14ac:dyDescent="0.3">
      <c r="A4143" t="s">
        <v>3468</v>
      </c>
      <c r="B4143" t="s">
        <v>1</v>
      </c>
    </row>
    <row r="4144" spans="1:2" x14ac:dyDescent="0.3">
      <c r="A4144" t="s">
        <v>3469</v>
      </c>
      <c r="B4144" t="s">
        <v>1</v>
      </c>
    </row>
    <row r="4145" spans="1:2" x14ac:dyDescent="0.3">
      <c r="A4145" t="s">
        <v>3470</v>
      </c>
      <c r="B4145" t="s">
        <v>1</v>
      </c>
    </row>
    <row r="4146" spans="1:2" x14ac:dyDescent="0.3">
      <c r="A4146" t="s">
        <v>3471</v>
      </c>
      <c r="B4146" t="s">
        <v>1</v>
      </c>
    </row>
    <row r="4147" spans="1:2" x14ac:dyDescent="0.3">
      <c r="A4147" t="s">
        <v>3472</v>
      </c>
      <c r="B4147" t="s">
        <v>1</v>
      </c>
    </row>
    <row r="4148" spans="1:2" x14ac:dyDescent="0.3">
      <c r="B4148" t="s">
        <v>180</v>
      </c>
    </row>
    <row r="4149" spans="1:2" x14ac:dyDescent="0.3">
      <c r="B4149" t="s">
        <v>180</v>
      </c>
    </row>
    <row r="4150" spans="1:2" x14ac:dyDescent="0.3">
      <c r="A4150" t="s">
        <v>3473</v>
      </c>
      <c r="B4150" t="s">
        <v>1</v>
      </c>
    </row>
    <row r="4151" spans="1:2" x14ac:dyDescent="0.3">
      <c r="A4151" t="s">
        <v>162</v>
      </c>
      <c r="B4151" t="s">
        <v>1</v>
      </c>
    </row>
    <row r="4152" spans="1:2" x14ac:dyDescent="0.3">
      <c r="A4152" t="s">
        <v>3474</v>
      </c>
      <c r="B4152" t="s">
        <v>1</v>
      </c>
    </row>
    <row r="4153" spans="1:2" x14ac:dyDescent="0.3">
      <c r="A4153" t="s">
        <v>3475</v>
      </c>
      <c r="B4153" t="s">
        <v>3139</v>
      </c>
    </row>
    <row r="4154" spans="1:2" x14ac:dyDescent="0.3">
      <c r="A4154" t="s">
        <v>3476</v>
      </c>
      <c r="B4154" t="s">
        <v>1</v>
      </c>
    </row>
    <row r="4155" spans="1:2" x14ac:dyDescent="0.3">
      <c r="A4155" t="s">
        <v>3477</v>
      </c>
      <c r="B4155" t="s">
        <v>1</v>
      </c>
    </row>
    <row r="4156" spans="1:2" x14ac:dyDescent="0.3">
      <c r="A4156" t="s">
        <v>3478</v>
      </c>
      <c r="B4156" t="s">
        <v>1</v>
      </c>
    </row>
    <row r="4157" spans="1:2" x14ac:dyDescent="0.3">
      <c r="A4157" t="s">
        <v>3479</v>
      </c>
      <c r="B4157" t="s">
        <v>1</v>
      </c>
    </row>
    <row r="4158" spans="1:2" x14ac:dyDescent="0.3">
      <c r="A4158" t="s">
        <v>3480</v>
      </c>
      <c r="B4158" t="s">
        <v>1</v>
      </c>
    </row>
    <row r="4159" spans="1:2" x14ac:dyDescent="0.3">
      <c r="A4159" t="s">
        <v>3481</v>
      </c>
      <c r="B4159" t="s">
        <v>1</v>
      </c>
    </row>
    <row r="4160" spans="1:2" x14ac:dyDescent="0.3">
      <c r="A4160" t="s">
        <v>3482</v>
      </c>
      <c r="B4160" t="s">
        <v>1</v>
      </c>
    </row>
    <row r="4161" spans="1:2" x14ac:dyDescent="0.3">
      <c r="A4161" t="s">
        <v>3483</v>
      </c>
      <c r="B4161" t="s">
        <v>896</v>
      </c>
    </row>
    <row r="4162" spans="1:2" x14ac:dyDescent="0.3">
      <c r="A4162" t="s">
        <v>3484</v>
      </c>
      <c r="B4162" t="s">
        <v>1</v>
      </c>
    </row>
    <row r="4163" spans="1:2" x14ac:dyDescent="0.3">
      <c r="A4163" t="s">
        <v>3485</v>
      </c>
      <c r="B4163" t="s">
        <v>166</v>
      </c>
    </row>
    <row r="4164" spans="1:2" x14ac:dyDescent="0.3">
      <c r="A4164" t="s">
        <v>3486</v>
      </c>
      <c r="B4164" t="s">
        <v>1</v>
      </c>
    </row>
    <row r="4165" spans="1:2" x14ac:dyDescent="0.3">
      <c r="A4165" t="s">
        <v>257</v>
      </c>
      <c r="B4165" t="s">
        <v>1</v>
      </c>
    </row>
    <row r="4166" spans="1:2" x14ac:dyDescent="0.3">
      <c r="B4166" t="s">
        <v>1107</v>
      </c>
    </row>
    <row r="4167" spans="1:2" x14ac:dyDescent="0.3">
      <c r="A4167" t="s">
        <v>3487</v>
      </c>
      <c r="B4167" t="s">
        <v>1</v>
      </c>
    </row>
    <row r="4168" spans="1:2" x14ac:dyDescent="0.3">
      <c r="A4168" t="s">
        <v>3488</v>
      </c>
      <c r="B4168" t="s">
        <v>280</v>
      </c>
    </row>
    <row r="4169" spans="1:2" x14ac:dyDescent="0.3">
      <c r="A4169" t="s">
        <v>3489</v>
      </c>
      <c r="B4169" t="s">
        <v>1</v>
      </c>
    </row>
    <row r="4170" spans="1:2" x14ac:dyDescent="0.3">
      <c r="B4170" t="s">
        <v>1</v>
      </c>
    </row>
    <row r="4171" spans="1:2" x14ac:dyDescent="0.3">
      <c r="B4171" t="s">
        <v>1</v>
      </c>
    </row>
    <row r="4172" spans="1:2" x14ac:dyDescent="0.3">
      <c r="B4172" t="s">
        <v>1</v>
      </c>
    </row>
    <row r="4173" spans="1:2" x14ac:dyDescent="0.3">
      <c r="A4173" t="s">
        <v>3490</v>
      </c>
      <c r="B4173" t="s">
        <v>1</v>
      </c>
    </row>
    <row r="4174" spans="1:2" x14ac:dyDescent="0.3">
      <c r="A4174" t="s">
        <v>3491</v>
      </c>
      <c r="B4174" t="s">
        <v>1</v>
      </c>
    </row>
    <row r="4175" spans="1:2" x14ac:dyDescent="0.3">
      <c r="A4175" t="s">
        <v>3492</v>
      </c>
      <c r="B4175" t="s">
        <v>1</v>
      </c>
    </row>
    <row r="4176" spans="1:2" x14ac:dyDescent="0.3">
      <c r="A4176" t="s">
        <v>3493</v>
      </c>
      <c r="B4176" t="s">
        <v>1</v>
      </c>
    </row>
    <row r="4177" spans="1:2" x14ac:dyDescent="0.3">
      <c r="A4177" t="s">
        <v>3494</v>
      </c>
      <c r="B4177" t="s">
        <v>192</v>
      </c>
    </row>
    <row r="4178" spans="1:2" x14ac:dyDescent="0.3">
      <c r="A4178" t="s">
        <v>3495</v>
      </c>
      <c r="B4178" t="s">
        <v>171</v>
      </c>
    </row>
    <row r="4179" spans="1:2" x14ac:dyDescent="0.3">
      <c r="A4179" t="s">
        <v>3496</v>
      </c>
      <c r="B4179" t="s">
        <v>1691</v>
      </c>
    </row>
    <row r="4180" spans="1:2" x14ac:dyDescent="0.3">
      <c r="A4180" t="s">
        <v>3497</v>
      </c>
      <c r="B4180" t="s">
        <v>171</v>
      </c>
    </row>
    <row r="4181" spans="1:2" x14ac:dyDescent="0.3">
      <c r="A4181" t="s">
        <v>3498</v>
      </c>
      <c r="B4181" t="s">
        <v>1</v>
      </c>
    </row>
    <row r="4182" spans="1:2" x14ac:dyDescent="0.3">
      <c r="A4182" t="s">
        <v>3499</v>
      </c>
      <c r="B4182" t="s">
        <v>1</v>
      </c>
    </row>
    <row r="4183" spans="1:2" x14ac:dyDescent="0.3">
      <c r="A4183" t="s">
        <v>3500</v>
      </c>
      <c r="B4183" t="s">
        <v>1</v>
      </c>
    </row>
    <row r="4184" spans="1:2" x14ac:dyDescent="0.3">
      <c r="A4184" t="s">
        <v>3501</v>
      </c>
      <c r="B4184" t="s">
        <v>2437</v>
      </c>
    </row>
    <row r="4185" spans="1:2" x14ac:dyDescent="0.3">
      <c r="A4185" t="s">
        <v>3502</v>
      </c>
      <c r="B4185" t="s">
        <v>1</v>
      </c>
    </row>
    <row r="4186" spans="1:2" x14ac:dyDescent="0.3">
      <c r="A4186" t="s">
        <v>3503</v>
      </c>
      <c r="B4186" t="s">
        <v>166</v>
      </c>
    </row>
    <row r="4187" spans="1:2" x14ac:dyDescent="0.3">
      <c r="A4187" t="s">
        <v>3504</v>
      </c>
      <c r="B4187" t="s">
        <v>1</v>
      </c>
    </row>
    <row r="4188" spans="1:2" x14ac:dyDescent="0.3">
      <c r="A4188" t="s">
        <v>3505</v>
      </c>
      <c r="B4188" t="s">
        <v>175</v>
      </c>
    </row>
    <row r="4189" spans="1:2" x14ac:dyDescent="0.3">
      <c r="A4189" t="s">
        <v>3506</v>
      </c>
      <c r="B4189" t="s">
        <v>175</v>
      </c>
    </row>
    <row r="4190" spans="1:2" x14ac:dyDescent="0.3">
      <c r="A4190" t="s">
        <v>3507</v>
      </c>
      <c r="B4190" t="s">
        <v>176</v>
      </c>
    </row>
    <row r="4191" spans="1:2" x14ac:dyDescent="0.3">
      <c r="A4191" t="s">
        <v>3508</v>
      </c>
      <c r="B4191" t="s">
        <v>176</v>
      </c>
    </row>
    <row r="4192" spans="1:2" x14ac:dyDescent="0.3">
      <c r="B4192" t="s">
        <v>2</v>
      </c>
    </row>
    <row r="4193" spans="1:2" x14ac:dyDescent="0.3">
      <c r="A4193" t="s">
        <v>104</v>
      </c>
      <c r="B4193" t="s">
        <v>2278</v>
      </c>
    </row>
    <row r="4194" spans="1:2" x14ac:dyDescent="0.3">
      <c r="A4194" t="s">
        <v>217</v>
      </c>
      <c r="B4194" t="s">
        <v>885</v>
      </c>
    </row>
    <row r="4195" spans="1:2" x14ac:dyDescent="0.3">
      <c r="A4195" t="s">
        <v>3509</v>
      </c>
      <c r="B4195" t="s">
        <v>2278</v>
      </c>
    </row>
    <row r="4196" spans="1:2" x14ac:dyDescent="0.3">
      <c r="A4196" t="s">
        <v>3510</v>
      </c>
      <c r="B4196" t="s">
        <v>2278</v>
      </c>
    </row>
    <row r="4197" spans="1:2" x14ac:dyDescent="0.3">
      <c r="A4197" t="s">
        <v>3511</v>
      </c>
      <c r="B4197" t="s">
        <v>176</v>
      </c>
    </row>
    <row r="4198" spans="1:2" x14ac:dyDescent="0.3">
      <c r="A4198" t="s">
        <v>3512</v>
      </c>
      <c r="B4198" t="s">
        <v>165</v>
      </c>
    </row>
    <row r="4199" spans="1:2" x14ac:dyDescent="0.3">
      <c r="B4199" t="s">
        <v>896</v>
      </c>
    </row>
    <row r="4200" spans="1:2" x14ac:dyDescent="0.3">
      <c r="A4200" t="s">
        <v>3513</v>
      </c>
      <c r="B4200" t="s">
        <v>1</v>
      </c>
    </row>
    <row r="4201" spans="1:2" x14ac:dyDescent="0.3">
      <c r="A4201" t="s">
        <v>3514</v>
      </c>
      <c r="B4201" t="s">
        <v>191</v>
      </c>
    </row>
    <row r="4202" spans="1:2" x14ac:dyDescent="0.3">
      <c r="A4202" t="s">
        <v>3515</v>
      </c>
      <c r="B4202" t="s">
        <v>164</v>
      </c>
    </row>
    <row r="4203" spans="1:2" x14ac:dyDescent="0.3">
      <c r="A4203" t="s">
        <v>3516</v>
      </c>
      <c r="B4203" t="s">
        <v>1655</v>
      </c>
    </row>
    <row r="4204" spans="1:2" x14ac:dyDescent="0.3">
      <c r="A4204" t="s">
        <v>3517</v>
      </c>
      <c r="B4204" t="s">
        <v>103</v>
      </c>
    </row>
    <row r="4205" spans="1:2" x14ac:dyDescent="0.3">
      <c r="A4205" t="s">
        <v>3518</v>
      </c>
      <c r="B4205" t="s">
        <v>554</v>
      </c>
    </row>
    <row r="4206" spans="1:2" x14ac:dyDescent="0.3">
      <c r="A4206" t="s">
        <v>215</v>
      </c>
      <c r="B4206" t="s">
        <v>103</v>
      </c>
    </row>
    <row r="4207" spans="1:2" x14ac:dyDescent="0.3">
      <c r="A4207" t="s">
        <v>3519</v>
      </c>
      <c r="B4207" t="s">
        <v>1</v>
      </c>
    </row>
    <row r="4208" spans="1:2" x14ac:dyDescent="0.3">
      <c r="A4208" t="s">
        <v>3520</v>
      </c>
      <c r="B4208" t="s">
        <v>171</v>
      </c>
    </row>
    <row r="4209" spans="1:2" x14ac:dyDescent="0.3">
      <c r="A4209" t="s">
        <v>3521</v>
      </c>
      <c r="B4209" t="s">
        <v>171</v>
      </c>
    </row>
    <row r="4210" spans="1:2" x14ac:dyDescent="0.3">
      <c r="B4210" t="s">
        <v>252</v>
      </c>
    </row>
    <row r="4211" spans="1:2" x14ac:dyDescent="0.3">
      <c r="A4211" t="s">
        <v>3522</v>
      </c>
      <c r="B4211" t="s">
        <v>186</v>
      </c>
    </row>
    <row r="4212" spans="1:2" x14ac:dyDescent="0.3">
      <c r="A4212" t="s">
        <v>3523</v>
      </c>
      <c r="B4212" t="s">
        <v>2249</v>
      </c>
    </row>
    <row r="4213" spans="1:2" x14ac:dyDescent="0.3">
      <c r="B4213" t="s">
        <v>72</v>
      </c>
    </row>
    <row r="4214" spans="1:2" x14ac:dyDescent="0.3">
      <c r="A4214" t="s">
        <v>3524</v>
      </c>
      <c r="B4214" t="s">
        <v>759</v>
      </c>
    </row>
    <row r="4215" spans="1:2" x14ac:dyDescent="0.3">
      <c r="A4215" t="s">
        <v>3525</v>
      </c>
      <c r="B4215" t="s">
        <v>759</v>
      </c>
    </row>
    <row r="4216" spans="1:2" x14ac:dyDescent="0.3">
      <c r="A4216" t="s">
        <v>3526</v>
      </c>
      <c r="B4216" t="s">
        <v>759</v>
      </c>
    </row>
    <row r="4217" spans="1:2" x14ac:dyDescent="0.3">
      <c r="A4217" t="s">
        <v>3527</v>
      </c>
      <c r="B4217" t="s">
        <v>759</v>
      </c>
    </row>
    <row r="4218" spans="1:2" x14ac:dyDescent="0.3">
      <c r="B4218" t="s">
        <v>72</v>
      </c>
    </row>
    <row r="4219" spans="1:2" x14ac:dyDescent="0.3">
      <c r="A4219" t="s">
        <v>3528</v>
      </c>
      <c r="B4219" t="s">
        <v>184</v>
      </c>
    </row>
    <row r="4220" spans="1:2" x14ac:dyDescent="0.3">
      <c r="A4220" t="s">
        <v>3529</v>
      </c>
      <c r="B4220" t="s">
        <v>184</v>
      </c>
    </row>
    <row r="4221" spans="1:2" x14ac:dyDescent="0.3">
      <c r="A4221" t="s">
        <v>3530</v>
      </c>
      <c r="B4221" t="s">
        <v>72</v>
      </c>
    </row>
    <row r="4222" spans="1:2" x14ac:dyDescent="0.3">
      <c r="A4222" t="s">
        <v>3531</v>
      </c>
      <c r="B4222" t="s">
        <v>166</v>
      </c>
    </row>
    <row r="4223" spans="1:2" x14ac:dyDescent="0.3">
      <c r="A4223" t="s">
        <v>935</v>
      </c>
      <c r="B4223" t="s">
        <v>176</v>
      </c>
    </row>
    <row r="4224" spans="1:2" x14ac:dyDescent="0.3">
      <c r="A4224" t="s">
        <v>3532</v>
      </c>
      <c r="B4224" t="s">
        <v>1</v>
      </c>
    </row>
    <row r="4225" spans="1:2" x14ac:dyDescent="0.3">
      <c r="A4225" t="s">
        <v>3533</v>
      </c>
      <c r="B4225" t="s">
        <v>1</v>
      </c>
    </row>
    <row r="4226" spans="1:2" x14ac:dyDescent="0.3">
      <c r="A4226" t="s">
        <v>3534</v>
      </c>
      <c r="B4226" t="s">
        <v>1166</v>
      </c>
    </row>
    <row r="4227" spans="1:2" x14ac:dyDescent="0.3">
      <c r="A4227" t="s">
        <v>3535</v>
      </c>
      <c r="B4227" t="s">
        <v>1</v>
      </c>
    </row>
    <row r="4228" spans="1:2" x14ac:dyDescent="0.3">
      <c r="A4228" t="s">
        <v>3536</v>
      </c>
      <c r="B4228" t="s">
        <v>1</v>
      </c>
    </row>
    <row r="4229" spans="1:2" x14ac:dyDescent="0.3">
      <c r="A4229" t="s">
        <v>3537</v>
      </c>
      <c r="B4229" t="s">
        <v>1</v>
      </c>
    </row>
    <row r="4230" spans="1:2" x14ac:dyDescent="0.3">
      <c r="A4230" t="s">
        <v>3538</v>
      </c>
      <c r="B4230" t="s">
        <v>1</v>
      </c>
    </row>
    <row r="4231" spans="1:2" x14ac:dyDescent="0.3">
      <c r="A4231" t="s">
        <v>3539</v>
      </c>
      <c r="B4231" t="s">
        <v>1</v>
      </c>
    </row>
    <row r="4232" spans="1:2" x14ac:dyDescent="0.3">
      <c r="A4232" t="s">
        <v>3540</v>
      </c>
      <c r="B4232" t="s">
        <v>1</v>
      </c>
    </row>
    <row r="4233" spans="1:2" x14ac:dyDescent="0.3">
      <c r="A4233" t="s">
        <v>3541</v>
      </c>
      <c r="B4233" t="s">
        <v>1</v>
      </c>
    </row>
    <row r="4234" spans="1:2" x14ac:dyDescent="0.3">
      <c r="A4234" t="s">
        <v>3542</v>
      </c>
      <c r="B4234" t="s">
        <v>759</v>
      </c>
    </row>
    <row r="4235" spans="1:2" x14ac:dyDescent="0.3">
      <c r="B4235" t="s">
        <v>97</v>
      </c>
    </row>
    <row r="4236" spans="1:2" x14ac:dyDescent="0.3">
      <c r="A4236" t="s">
        <v>3543</v>
      </c>
      <c r="B4236" t="s">
        <v>97</v>
      </c>
    </row>
    <row r="4237" spans="1:2" x14ac:dyDescent="0.3">
      <c r="A4237" t="s">
        <v>3544</v>
      </c>
      <c r="B4237" t="s">
        <v>1</v>
      </c>
    </row>
    <row r="4238" spans="1:2" x14ac:dyDescent="0.3">
      <c r="A4238" t="s">
        <v>3545</v>
      </c>
      <c r="B4238" t="s">
        <v>759</v>
      </c>
    </row>
    <row r="4239" spans="1:2" x14ac:dyDescent="0.3">
      <c r="A4239" t="s">
        <v>3546</v>
      </c>
      <c r="B4239" t="s">
        <v>759</v>
      </c>
    </row>
    <row r="4240" spans="1:2" x14ac:dyDescent="0.3">
      <c r="A4240" t="s">
        <v>3547</v>
      </c>
      <c r="B4240" t="s">
        <v>759</v>
      </c>
    </row>
    <row r="4241" spans="1:2" x14ac:dyDescent="0.3">
      <c r="A4241" t="s">
        <v>3548</v>
      </c>
      <c r="B4241" t="s">
        <v>166</v>
      </c>
    </row>
    <row r="4242" spans="1:2" x14ac:dyDescent="0.3">
      <c r="A4242" t="s">
        <v>3549</v>
      </c>
      <c r="B4242" t="s">
        <v>166</v>
      </c>
    </row>
    <row r="4243" spans="1:2" x14ac:dyDescent="0.3">
      <c r="A4243" t="s">
        <v>3550</v>
      </c>
      <c r="B4243" t="s">
        <v>1</v>
      </c>
    </row>
    <row r="4244" spans="1:2" x14ac:dyDescent="0.3">
      <c r="A4244" t="s">
        <v>3551</v>
      </c>
      <c r="B4244" t="s">
        <v>1</v>
      </c>
    </row>
    <row r="4245" spans="1:2" x14ac:dyDescent="0.3">
      <c r="A4245" t="s">
        <v>3552</v>
      </c>
      <c r="B4245" t="s">
        <v>1</v>
      </c>
    </row>
    <row r="4246" spans="1:2" x14ac:dyDescent="0.3">
      <c r="A4246" t="s">
        <v>3553</v>
      </c>
      <c r="B4246" t="s">
        <v>2324</v>
      </c>
    </row>
    <row r="4247" spans="1:2" x14ac:dyDescent="0.3">
      <c r="A4247" t="s">
        <v>3554</v>
      </c>
      <c r="B4247" t="s">
        <v>2324</v>
      </c>
    </row>
    <row r="4248" spans="1:2" x14ac:dyDescent="0.3">
      <c r="A4248" t="s">
        <v>3555</v>
      </c>
      <c r="B4248" t="s">
        <v>1</v>
      </c>
    </row>
    <row r="4249" spans="1:2" x14ac:dyDescent="0.3">
      <c r="A4249" t="s">
        <v>3556</v>
      </c>
      <c r="B4249" t="s">
        <v>166</v>
      </c>
    </row>
    <row r="4250" spans="1:2" x14ac:dyDescent="0.3">
      <c r="B4250" t="s">
        <v>282</v>
      </c>
    </row>
    <row r="4251" spans="1:2" x14ac:dyDescent="0.3">
      <c r="A4251" t="s">
        <v>3557</v>
      </c>
      <c r="B4251" t="s">
        <v>166</v>
      </c>
    </row>
    <row r="4252" spans="1:2" x14ac:dyDescent="0.3">
      <c r="A4252" t="s">
        <v>3558</v>
      </c>
      <c r="B4252" t="s">
        <v>166</v>
      </c>
    </row>
    <row r="4253" spans="1:2" x14ac:dyDescent="0.3">
      <c r="A4253" t="s">
        <v>3559</v>
      </c>
      <c r="B4253" t="s">
        <v>166</v>
      </c>
    </row>
    <row r="4254" spans="1:2" x14ac:dyDescent="0.3">
      <c r="A4254" t="s">
        <v>3560</v>
      </c>
      <c r="B4254" t="s">
        <v>166</v>
      </c>
    </row>
    <row r="4255" spans="1:2" x14ac:dyDescent="0.3">
      <c r="A4255" t="s">
        <v>3561</v>
      </c>
      <c r="B4255" t="s">
        <v>1</v>
      </c>
    </row>
    <row r="4256" spans="1:2" x14ac:dyDescent="0.3">
      <c r="A4256" t="s">
        <v>3562</v>
      </c>
      <c r="B4256" t="s">
        <v>2324</v>
      </c>
    </row>
    <row r="4257" spans="1:2" x14ac:dyDescent="0.3">
      <c r="A4257" t="s">
        <v>3563</v>
      </c>
      <c r="B4257" t="s">
        <v>166</v>
      </c>
    </row>
    <row r="4258" spans="1:2" x14ac:dyDescent="0.3">
      <c r="A4258" t="s">
        <v>3564</v>
      </c>
      <c r="B4258" t="s">
        <v>166</v>
      </c>
    </row>
    <row r="4259" spans="1:2" x14ac:dyDescent="0.3">
      <c r="A4259" t="s">
        <v>3565</v>
      </c>
      <c r="B4259" t="s">
        <v>166</v>
      </c>
    </row>
    <row r="4260" spans="1:2" x14ac:dyDescent="0.3">
      <c r="A4260" t="s">
        <v>3566</v>
      </c>
      <c r="B4260" t="s">
        <v>166</v>
      </c>
    </row>
    <row r="4261" spans="1:2" x14ac:dyDescent="0.3">
      <c r="A4261" t="s">
        <v>3567</v>
      </c>
      <c r="B4261" t="s">
        <v>166</v>
      </c>
    </row>
    <row r="4262" spans="1:2" x14ac:dyDescent="0.3">
      <c r="A4262" t="s">
        <v>3568</v>
      </c>
      <c r="B4262" t="s">
        <v>166</v>
      </c>
    </row>
    <row r="4263" spans="1:2" x14ac:dyDescent="0.3">
      <c r="A4263" t="s">
        <v>3569</v>
      </c>
      <c r="B4263" t="s">
        <v>166</v>
      </c>
    </row>
    <row r="4264" spans="1:2" x14ac:dyDescent="0.3">
      <c r="A4264" t="s">
        <v>3570</v>
      </c>
      <c r="B4264" t="s">
        <v>2324</v>
      </c>
    </row>
    <row r="4265" spans="1:2" x14ac:dyDescent="0.3">
      <c r="B4265" t="s">
        <v>166</v>
      </c>
    </row>
    <row r="4266" spans="1:2" x14ac:dyDescent="0.3">
      <c r="A4266" t="s">
        <v>3571</v>
      </c>
      <c r="B4266" t="s">
        <v>166</v>
      </c>
    </row>
    <row r="4267" spans="1:2" x14ac:dyDescent="0.3">
      <c r="A4267" t="s">
        <v>3572</v>
      </c>
      <c r="B4267" t="s">
        <v>1978</v>
      </c>
    </row>
    <row r="4268" spans="1:2" x14ac:dyDescent="0.3">
      <c r="A4268" t="s">
        <v>3573</v>
      </c>
      <c r="B4268" t="s">
        <v>166</v>
      </c>
    </row>
    <row r="4269" spans="1:2" x14ac:dyDescent="0.3">
      <c r="A4269" t="s">
        <v>3574</v>
      </c>
      <c r="B4269" t="s">
        <v>176</v>
      </c>
    </row>
    <row r="4270" spans="1:2" x14ac:dyDescent="0.3">
      <c r="A4270" t="s">
        <v>3575</v>
      </c>
      <c r="B4270" t="s">
        <v>174</v>
      </c>
    </row>
    <row r="4271" spans="1:2" x14ac:dyDescent="0.3">
      <c r="A4271" t="s">
        <v>3576</v>
      </c>
      <c r="B4271" t="s">
        <v>896</v>
      </c>
    </row>
    <row r="4272" spans="1:2" x14ac:dyDescent="0.3">
      <c r="A4272" t="s">
        <v>3577</v>
      </c>
      <c r="B4272" t="s">
        <v>1</v>
      </c>
    </row>
    <row r="4273" spans="1:2" x14ac:dyDescent="0.3">
      <c r="A4273" t="s">
        <v>3578</v>
      </c>
      <c r="B4273" t="s">
        <v>1</v>
      </c>
    </row>
    <row r="4274" spans="1:2" x14ac:dyDescent="0.3">
      <c r="A4274" t="s">
        <v>3579</v>
      </c>
      <c r="B4274" t="s">
        <v>1</v>
      </c>
    </row>
    <row r="4275" spans="1:2" x14ac:dyDescent="0.3">
      <c r="A4275" t="s">
        <v>3580</v>
      </c>
      <c r="B4275" t="s">
        <v>1</v>
      </c>
    </row>
    <row r="4276" spans="1:2" x14ac:dyDescent="0.3">
      <c r="A4276" t="s">
        <v>3581</v>
      </c>
      <c r="B4276" t="s">
        <v>1</v>
      </c>
    </row>
    <row r="4277" spans="1:2" x14ac:dyDescent="0.3">
      <c r="A4277" t="s">
        <v>3582</v>
      </c>
      <c r="B4277" t="s">
        <v>1</v>
      </c>
    </row>
    <row r="4278" spans="1:2" x14ac:dyDescent="0.3">
      <c r="A4278" t="s">
        <v>3583</v>
      </c>
      <c r="B4278" t="s">
        <v>759</v>
      </c>
    </row>
    <row r="4279" spans="1:2" x14ac:dyDescent="0.3">
      <c r="B4279" t="s">
        <v>2469</v>
      </c>
    </row>
    <row r="4280" spans="1:2" x14ac:dyDescent="0.3">
      <c r="A4280" t="s">
        <v>3584</v>
      </c>
      <c r="B4280" t="s">
        <v>166</v>
      </c>
    </row>
    <row r="4281" spans="1:2" x14ac:dyDescent="0.3">
      <c r="A4281" t="s">
        <v>3585</v>
      </c>
      <c r="B4281" t="s">
        <v>192</v>
      </c>
    </row>
    <row r="4282" spans="1:2" x14ac:dyDescent="0.3">
      <c r="A4282" t="s">
        <v>3586</v>
      </c>
      <c r="B4282" t="s">
        <v>192</v>
      </c>
    </row>
    <row r="4283" spans="1:2" x14ac:dyDescent="0.3">
      <c r="B4283" t="s">
        <v>759</v>
      </c>
    </row>
    <row r="4284" spans="1:2" x14ac:dyDescent="0.3">
      <c r="A4284" t="s">
        <v>3587</v>
      </c>
      <c r="B4284" t="s">
        <v>2324</v>
      </c>
    </row>
    <row r="4285" spans="1:2" x14ac:dyDescent="0.3">
      <c r="A4285" t="s">
        <v>3588</v>
      </c>
      <c r="B4285" t="s">
        <v>2324</v>
      </c>
    </row>
    <row r="4286" spans="1:2" x14ac:dyDescent="0.3">
      <c r="A4286" t="s">
        <v>3589</v>
      </c>
      <c r="B4286" t="s">
        <v>2289</v>
      </c>
    </row>
    <row r="4287" spans="1:2" x14ac:dyDescent="0.3">
      <c r="A4287" t="s">
        <v>3590</v>
      </c>
      <c r="B4287" t="s">
        <v>2289</v>
      </c>
    </row>
    <row r="4288" spans="1:2" x14ac:dyDescent="0.3">
      <c r="A4288" t="s">
        <v>3591</v>
      </c>
      <c r="B4288" t="s">
        <v>2281</v>
      </c>
    </row>
    <row r="4289" spans="1:2" x14ac:dyDescent="0.3">
      <c r="A4289" t="s">
        <v>3592</v>
      </c>
      <c r="B4289" t="s">
        <v>182</v>
      </c>
    </row>
    <row r="4290" spans="1:2" x14ac:dyDescent="0.3">
      <c r="A4290" t="s">
        <v>3593</v>
      </c>
      <c r="B4290" t="s">
        <v>2249</v>
      </c>
    </row>
    <row r="4291" spans="1:2" x14ac:dyDescent="0.3">
      <c r="A4291" t="s">
        <v>3594</v>
      </c>
      <c r="B4291" t="s">
        <v>199</v>
      </c>
    </row>
    <row r="4292" spans="1:2" x14ac:dyDescent="0.3">
      <c r="A4292" t="s">
        <v>3595</v>
      </c>
      <c r="B4292" t="s">
        <v>199</v>
      </c>
    </row>
    <row r="4293" spans="1:2" x14ac:dyDescent="0.3">
      <c r="A4293" t="s">
        <v>3596</v>
      </c>
      <c r="B4293" t="s">
        <v>3306</v>
      </c>
    </row>
    <row r="4294" spans="1:2" x14ac:dyDescent="0.3">
      <c r="A4294" t="s">
        <v>3597</v>
      </c>
      <c r="B4294" t="s">
        <v>1115</v>
      </c>
    </row>
    <row r="4295" spans="1:2" x14ac:dyDescent="0.3">
      <c r="A4295" t="s">
        <v>3598</v>
      </c>
      <c r="B4295" t="s">
        <v>182</v>
      </c>
    </row>
    <row r="4296" spans="1:2" x14ac:dyDescent="0.3">
      <c r="A4296" t="s">
        <v>96</v>
      </c>
      <c r="B4296" t="s">
        <v>2220</v>
      </c>
    </row>
    <row r="4297" spans="1:2" x14ac:dyDescent="0.3">
      <c r="A4297" t="s">
        <v>3599</v>
      </c>
      <c r="B4297" t="s">
        <v>2208</v>
      </c>
    </row>
    <row r="4298" spans="1:2" x14ac:dyDescent="0.3">
      <c r="A4298" t="s">
        <v>3600</v>
      </c>
      <c r="B4298" t="s">
        <v>2208</v>
      </c>
    </row>
    <row r="4299" spans="1:2" x14ac:dyDescent="0.3">
      <c r="A4299" t="s">
        <v>3601</v>
      </c>
      <c r="B4299" t="s">
        <v>173</v>
      </c>
    </row>
    <row r="4300" spans="1:2" x14ac:dyDescent="0.3">
      <c r="A4300" t="s">
        <v>3602</v>
      </c>
      <c r="B4300" t="s">
        <v>2149</v>
      </c>
    </row>
    <row r="4301" spans="1:2" x14ac:dyDescent="0.3">
      <c r="A4301" t="s">
        <v>3603</v>
      </c>
      <c r="B4301" t="s">
        <v>191</v>
      </c>
    </row>
    <row r="4302" spans="1:2" x14ac:dyDescent="0.3">
      <c r="A4302" t="s">
        <v>3604</v>
      </c>
      <c r="B4302" t="s">
        <v>182</v>
      </c>
    </row>
    <row r="4303" spans="1:2" x14ac:dyDescent="0.3">
      <c r="A4303" t="s">
        <v>3605</v>
      </c>
      <c r="B4303" t="s">
        <v>182</v>
      </c>
    </row>
    <row r="4304" spans="1:2" x14ac:dyDescent="0.3">
      <c r="A4304" t="s">
        <v>3606</v>
      </c>
      <c r="B4304" t="s">
        <v>182</v>
      </c>
    </row>
    <row r="4305" spans="1:2" x14ac:dyDescent="0.3">
      <c r="A4305" t="s">
        <v>3607</v>
      </c>
      <c r="B4305" t="s">
        <v>171</v>
      </c>
    </row>
    <row r="4306" spans="1:2" x14ac:dyDescent="0.3">
      <c r="A4306" t="s">
        <v>3608</v>
      </c>
      <c r="B4306" t="s">
        <v>182</v>
      </c>
    </row>
    <row r="4307" spans="1:2" x14ac:dyDescent="0.3">
      <c r="A4307" t="s">
        <v>3609</v>
      </c>
      <c r="B4307" t="s">
        <v>195</v>
      </c>
    </row>
    <row r="4308" spans="1:2" x14ac:dyDescent="0.3">
      <c r="A4308" t="s">
        <v>3610</v>
      </c>
      <c r="B4308" t="s">
        <v>195</v>
      </c>
    </row>
    <row r="4309" spans="1:2" x14ac:dyDescent="0.3">
      <c r="A4309" t="s">
        <v>3611</v>
      </c>
      <c r="B4309" t="s">
        <v>195</v>
      </c>
    </row>
    <row r="4310" spans="1:2" x14ac:dyDescent="0.3">
      <c r="A4310" t="s">
        <v>3612</v>
      </c>
      <c r="B4310" t="s">
        <v>195</v>
      </c>
    </row>
    <row r="4311" spans="1:2" x14ac:dyDescent="0.3">
      <c r="A4311" t="s">
        <v>3613</v>
      </c>
      <c r="B4311" t="s">
        <v>195</v>
      </c>
    </row>
    <row r="4312" spans="1:2" x14ac:dyDescent="0.3">
      <c r="A4312" t="s">
        <v>3614</v>
      </c>
      <c r="B4312" t="s">
        <v>193</v>
      </c>
    </row>
    <row r="4313" spans="1:2" x14ac:dyDescent="0.3">
      <c r="A4313" t="s">
        <v>3615</v>
      </c>
      <c r="B4313" t="s">
        <v>193</v>
      </c>
    </row>
    <row r="4314" spans="1:2" x14ac:dyDescent="0.3">
      <c r="A4314" t="s">
        <v>3616</v>
      </c>
      <c r="B4314" t="s">
        <v>193</v>
      </c>
    </row>
    <row r="4315" spans="1:2" x14ac:dyDescent="0.3">
      <c r="A4315" t="s">
        <v>3617</v>
      </c>
      <c r="B4315" t="s">
        <v>193</v>
      </c>
    </row>
    <row r="4316" spans="1:2" x14ac:dyDescent="0.3">
      <c r="A4316" t="s">
        <v>3618</v>
      </c>
      <c r="B4316" t="s">
        <v>193</v>
      </c>
    </row>
    <row r="4317" spans="1:2" x14ac:dyDescent="0.3">
      <c r="A4317" t="s">
        <v>3619</v>
      </c>
      <c r="B4317" t="s">
        <v>896</v>
      </c>
    </row>
    <row r="4318" spans="1:2" x14ac:dyDescent="0.3">
      <c r="A4318" t="s">
        <v>3620</v>
      </c>
      <c r="B4318" t="s">
        <v>896</v>
      </c>
    </row>
    <row r="4319" spans="1:2" x14ac:dyDescent="0.3">
      <c r="A4319" t="s">
        <v>3621</v>
      </c>
      <c r="B4319" t="s">
        <v>896</v>
      </c>
    </row>
    <row r="4320" spans="1:2" x14ac:dyDescent="0.3">
      <c r="A4320" t="s">
        <v>3622</v>
      </c>
      <c r="B4320" t="s">
        <v>896</v>
      </c>
    </row>
    <row r="4321" spans="1:2" x14ac:dyDescent="0.3">
      <c r="A4321" t="s">
        <v>3623</v>
      </c>
      <c r="B4321" t="s">
        <v>896</v>
      </c>
    </row>
    <row r="4322" spans="1:2" x14ac:dyDescent="0.3">
      <c r="A4322" t="s">
        <v>3624</v>
      </c>
      <c r="B4322" t="s">
        <v>174</v>
      </c>
    </row>
    <row r="4323" spans="1:2" x14ac:dyDescent="0.3">
      <c r="A4323" t="s">
        <v>3625</v>
      </c>
      <c r="B4323" t="s">
        <v>174</v>
      </c>
    </row>
    <row r="4324" spans="1:2" x14ac:dyDescent="0.3">
      <c r="A4324" t="s">
        <v>3626</v>
      </c>
      <c r="B4324" t="s">
        <v>174</v>
      </c>
    </row>
    <row r="4325" spans="1:2" x14ac:dyDescent="0.3">
      <c r="A4325" t="s">
        <v>3627</v>
      </c>
      <c r="B4325" t="s">
        <v>174</v>
      </c>
    </row>
    <row r="4326" spans="1:2" x14ac:dyDescent="0.3">
      <c r="A4326" t="s">
        <v>3628</v>
      </c>
      <c r="B4326" t="s">
        <v>174</v>
      </c>
    </row>
    <row r="4327" spans="1:2" x14ac:dyDescent="0.3">
      <c r="A4327" t="s">
        <v>3629</v>
      </c>
      <c r="B4327" t="s">
        <v>174</v>
      </c>
    </row>
    <row r="4328" spans="1:2" x14ac:dyDescent="0.3">
      <c r="A4328" t="s">
        <v>3630</v>
      </c>
      <c r="B4328" t="s">
        <v>174</v>
      </c>
    </row>
    <row r="4329" spans="1:2" x14ac:dyDescent="0.3">
      <c r="A4329" t="s">
        <v>3631</v>
      </c>
      <c r="B4329" t="s">
        <v>174</v>
      </c>
    </row>
    <row r="4330" spans="1:2" x14ac:dyDescent="0.3">
      <c r="A4330" t="s">
        <v>3632</v>
      </c>
      <c r="B4330" t="s">
        <v>174</v>
      </c>
    </row>
    <row r="4331" spans="1:2" x14ac:dyDescent="0.3">
      <c r="A4331" t="s">
        <v>3633</v>
      </c>
      <c r="B4331" t="s">
        <v>177</v>
      </c>
    </row>
    <row r="4332" spans="1:2" x14ac:dyDescent="0.3">
      <c r="A4332" t="s">
        <v>3634</v>
      </c>
      <c r="B4332" t="s">
        <v>177</v>
      </c>
    </row>
    <row r="4333" spans="1:2" x14ac:dyDescent="0.3">
      <c r="A4333" t="s">
        <v>3635</v>
      </c>
      <c r="B4333" t="s">
        <v>177</v>
      </c>
    </row>
    <row r="4334" spans="1:2" x14ac:dyDescent="0.3">
      <c r="A4334" t="s">
        <v>3636</v>
      </c>
      <c r="B4334" t="s">
        <v>1874</v>
      </c>
    </row>
    <row r="4335" spans="1:2" x14ac:dyDescent="0.3">
      <c r="A4335" t="s">
        <v>3637</v>
      </c>
      <c r="B4335" t="s">
        <v>1</v>
      </c>
    </row>
    <row r="4336" spans="1:2" x14ac:dyDescent="0.3">
      <c r="A4336" t="s">
        <v>3638</v>
      </c>
      <c r="B4336" t="s">
        <v>193</v>
      </c>
    </row>
    <row r="4337" spans="1:2" x14ac:dyDescent="0.3">
      <c r="A4337" t="s">
        <v>3639</v>
      </c>
      <c r="B4337" t="s">
        <v>285</v>
      </c>
    </row>
    <row r="4338" spans="1:2" x14ac:dyDescent="0.3">
      <c r="A4338" t="s">
        <v>3640</v>
      </c>
      <c r="B4338" t="s">
        <v>285</v>
      </c>
    </row>
    <row r="4339" spans="1:2" x14ac:dyDescent="0.3">
      <c r="A4339" t="s">
        <v>3641</v>
      </c>
      <c r="B4339" t="s">
        <v>285</v>
      </c>
    </row>
    <row r="4340" spans="1:2" x14ac:dyDescent="0.3">
      <c r="A4340" t="s">
        <v>3642</v>
      </c>
      <c r="B4340" t="s">
        <v>285</v>
      </c>
    </row>
    <row r="4341" spans="1:2" x14ac:dyDescent="0.3">
      <c r="A4341" t="s">
        <v>3643</v>
      </c>
      <c r="B4341" t="s">
        <v>285</v>
      </c>
    </row>
    <row r="4342" spans="1:2" x14ac:dyDescent="0.3">
      <c r="A4342" t="s">
        <v>3644</v>
      </c>
      <c r="B4342" t="s">
        <v>285</v>
      </c>
    </row>
    <row r="4343" spans="1:2" x14ac:dyDescent="0.3">
      <c r="A4343" t="s">
        <v>3645</v>
      </c>
      <c r="B4343" t="s">
        <v>285</v>
      </c>
    </row>
    <row r="4344" spans="1:2" x14ac:dyDescent="0.3">
      <c r="A4344" t="s">
        <v>3646</v>
      </c>
      <c r="B4344" t="s">
        <v>285</v>
      </c>
    </row>
    <row r="4345" spans="1:2" x14ac:dyDescent="0.3">
      <c r="A4345" t="s">
        <v>3647</v>
      </c>
      <c r="B4345" t="s">
        <v>285</v>
      </c>
    </row>
    <row r="4346" spans="1:2" x14ac:dyDescent="0.3">
      <c r="A4346" t="s">
        <v>3648</v>
      </c>
      <c r="B4346" t="s">
        <v>285</v>
      </c>
    </row>
    <row r="4347" spans="1:2" x14ac:dyDescent="0.3">
      <c r="A4347" t="s">
        <v>3649</v>
      </c>
      <c r="B4347" t="s">
        <v>285</v>
      </c>
    </row>
    <row r="4348" spans="1:2" x14ac:dyDescent="0.3">
      <c r="A4348" t="s">
        <v>3650</v>
      </c>
      <c r="B4348" t="s">
        <v>285</v>
      </c>
    </row>
    <row r="4349" spans="1:2" x14ac:dyDescent="0.3">
      <c r="A4349" t="s">
        <v>3651</v>
      </c>
      <c r="B4349" t="s">
        <v>285</v>
      </c>
    </row>
    <row r="4350" spans="1:2" x14ac:dyDescent="0.3">
      <c r="A4350" t="s">
        <v>3652</v>
      </c>
      <c r="B4350" t="s">
        <v>285</v>
      </c>
    </row>
    <row r="4351" spans="1:2" x14ac:dyDescent="0.3">
      <c r="A4351" t="s">
        <v>3653</v>
      </c>
      <c r="B4351" t="s">
        <v>285</v>
      </c>
    </row>
    <row r="4352" spans="1:2" x14ac:dyDescent="0.3">
      <c r="A4352" t="s">
        <v>3654</v>
      </c>
      <c r="B4352" t="s">
        <v>285</v>
      </c>
    </row>
    <row r="4353" spans="1:2" x14ac:dyDescent="0.3">
      <c r="A4353" t="s">
        <v>3655</v>
      </c>
      <c r="B4353" t="s">
        <v>285</v>
      </c>
    </row>
    <row r="4354" spans="1:2" x14ac:dyDescent="0.3">
      <c r="A4354" t="s">
        <v>3656</v>
      </c>
      <c r="B4354" t="s">
        <v>285</v>
      </c>
    </row>
    <row r="4355" spans="1:2" x14ac:dyDescent="0.3">
      <c r="A4355" t="s">
        <v>3657</v>
      </c>
      <c r="B4355" t="s">
        <v>1</v>
      </c>
    </row>
    <row r="4356" spans="1:2" x14ac:dyDescent="0.3">
      <c r="A4356" t="s">
        <v>3658</v>
      </c>
      <c r="B4356" t="s">
        <v>1</v>
      </c>
    </row>
    <row r="4357" spans="1:2" x14ac:dyDescent="0.3">
      <c r="A4357" t="s">
        <v>3659</v>
      </c>
      <c r="B4357" t="s">
        <v>1</v>
      </c>
    </row>
    <row r="4358" spans="1:2" x14ac:dyDescent="0.3">
      <c r="A4358" t="s">
        <v>3660</v>
      </c>
      <c r="B4358" t="s">
        <v>1</v>
      </c>
    </row>
    <row r="4359" spans="1:2" x14ac:dyDescent="0.3">
      <c r="A4359" t="s">
        <v>3661</v>
      </c>
      <c r="B4359" t="s">
        <v>1</v>
      </c>
    </row>
    <row r="4360" spans="1:2" x14ac:dyDescent="0.3">
      <c r="A4360" t="s">
        <v>3662</v>
      </c>
      <c r="B4360" t="s">
        <v>1</v>
      </c>
    </row>
    <row r="4361" spans="1:2" x14ac:dyDescent="0.3">
      <c r="A4361" t="s">
        <v>3663</v>
      </c>
      <c r="B4361" t="s">
        <v>1</v>
      </c>
    </row>
    <row r="4362" spans="1:2" x14ac:dyDescent="0.3">
      <c r="A4362" t="s">
        <v>3664</v>
      </c>
      <c r="B4362" t="s">
        <v>1</v>
      </c>
    </row>
    <row r="4363" spans="1:2" x14ac:dyDescent="0.3">
      <c r="A4363" t="s">
        <v>3665</v>
      </c>
      <c r="B4363" t="s">
        <v>1</v>
      </c>
    </row>
    <row r="4364" spans="1:2" x14ac:dyDescent="0.3">
      <c r="A4364" t="s">
        <v>3666</v>
      </c>
      <c r="B4364" t="s">
        <v>1</v>
      </c>
    </row>
    <row r="4365" spans="1:2" x14ac:dyDescent="0.3">
      <c r="A4365" t="s">
        <v>3667</v>
      </c>
      <c r="B4365" t="s">
        <v>1</v>
      </c>
    </row>
    <row r="4366" spans="1:2" x14ac:dyDescent="0.3">
      <c r="A4366" t="s">
        <v>3668</v>
      </c>
      <c r="B4366" t="s">
        <v>258</v>
      </c>
    </row>
    <row r="4367" spans="1:2" x14ac:dyDescent="0.3">
      <c r="A4367" t="s">
        <v>3669</v>
      </c>
      <c r="B4367" t="s">
        <v>258</v>
      </c>
    </row>
    <row r="4368" spans="1:2" x14ac:dyDescent="0.3">
      <c r="A4368" t="s">
        <v>3670</v>
      </c>
      <c r="B4368" t="s">
        <v>258</v>
      </c>
    </row>
    <row r="4369" spans="1:2" x14ac:dyDescent="0.3">
      <c r="A4369" t="s">
        <v>3671</v>
      </c>
      <c r="B4369" t="s">
        <v>258</v>
      </c>
    </row>
    <row r="4370" spans="1:2" x14ac:dyDescent="0.3">
      <c r="A4370" t="s">
        <v>3672</v>
      </c>
      <c r="B4370" t="s">
        <v>3210</v>
      </c>
    </row>
    <row r="4371" spans="1:2" x14ac:dyDescent="0.3">
      <c r="A4371" t="s">
        <v>3673</v>
      </c>
      <c r="B4371" t="s">
        <v>1860</v>
      </c>
    </row>
    <row r="4372" spans="1:2" x14ac:dyDescent="0.3">
      <c r="A4372" t="s">
        <v>3674</v>
      </c>
      <c r="B4372" t="s">
        <v>168</v>
      </c>
    </row>
    <row r="4373" spans="1:2" x14ac:dyDescent="0.3">
      <c r="A4373" t="s">
        <v>3675</v>
      </c>
      <c r="B4373" t="s">
        <v>188</v>
      </c>
    </row>
    <row r="4374" spans="1:2" x14ac:dyDescent="0.3">
      <c r="A4374" t="s">
        <v>3676</v>
      </c>
      <c r="B4374" t="s">
        <v>188</v>
      </c>
    </row>
    <row r="4375" spans="1:2" x14ac:dyDescent="0.3">
      <c r="A4375" t="s">
        <v>3677</v>
      </c>
      <c r="B4375" t="s">
        <v>188</v>
      </c>
    </row>
    <row r="4376" spans="1:2" x14ac:dyDescent="0.3">
      <c r="A4376" t="s">
        <v>3678</v>
      </c>
      <c r="B4376" t="s">
        <v>188</v>
      </c>
    </row>
    <row r="4377" spans="1:2" x14ac:dyDescent="0.3">
      <c r="A4377" t="s">
        <v>3679</v>
      </c>
      <c r="B4377" t="s">
        <v>188</v>
      </c>
    </row>
    <row r="4378" spans="1:2" x14ac:dyDescent="0.3">
      <c r="A4378" t="s">
        <v>3680</v>
      </c>
      <c r="B4378" t="s">
        <v>188</v>
      </c>
    </row>
    <row r="4379" spans="1:2" x14ac:dyDescent="0.3">
      <c r="A4379" t="s">
        <v>3681</v>
      </c>
      <c r="B4379" t="s">
        <v>188</v>
      </c>
    </row>
    <row r="4380" spans="1:2" x14ac:dyDescent="0.3">
      <c r="A4380" t="s">
        <v>3682</v>
      </c>
      <c r="B4380" t="s">
        <v>188</v>
      </c>
    </row>
    <row r="4381" spans="1:2" x14ac:dyDescent="0.3">
      <c r="A4381" t="s">
        <v>3683</v>
      </c>
      <c r="B4381" t="s">
        <v>188</v>
      </c>
    </row>
    <row r="4382" spans="1:2" x14ac:dyDescent="0.3">
      <c r="A4382" t="s">
        <v>3684</v>
      </c>
      <c r="B4382" t="s">
        <v>188</v>
      </c>
    </row>
    <row r="4383" spans="1:2" x14ac:dyDescent="0.3">
      <c r="A4383" t="s">
        <v>3685</v>
      </c>
      <c r="B4383" t="s">
        <v>188</v>
      </c>
    </row>
    <row r="4384" spans="1:2" x14ac:dyDescent="0.3">
      <c r="A4384" t="s">
        <v>3686</v>
      </c>
      <c r="B4384" t="s">
        <v>188</v>
      </c>
    </row>
    <row r="4385" spans="1:2" x14ac:dyDescent="0.3">
      <c r="A4385" t="s">
        <v>3687</v>
      </c>
      <c r="B4385" t="s">
        <v>188</v>
      </c>
    </row>
    <row r="4386" spans="1:2" x14ac:dyDescent="0.3">
      <c r="A4386" t="s">
        <v>3688</v>
      </c>
      <c r="B4386" t="s">
        <v>188</v>
      </c>
    </row>
    <row r="4387" spans="1:2" x14ac:dyDescent="0.3">
      <c r="A4387" t="s">
        <v>3689</v>
      </c>
      <c r="B4387" t="s">
        <v>74</v>
      </c>
    </row>
    <row r="4388" spans="1:2" x14ac:dyDescent="0.3">
      <c r="A4388" t="s">
        <v>3690</v>
      </c>
      <c r="B4388" t="s">
        <v>184</v>
      </c>
    </row>
    <row r="4389" spans="1:2" x14ac:dyDescent="0.3">
      <c r="A4389" t="s">
        <v>3691</v>
      </c>
      <c r="B4389" t="s">
        <v>184</v>
      </c>
    </row>
    <row r="4390" spans="1:2" x14ac:dyDescent="0.3">
      <c r="A4390" t="s">
        <v>3692</v>
      </c>
      <c r="B4390" t="s">
        <v>184</v>
      </c>
    </row>
    <row r="4391" spans="1:2" x14ac:dyDescent="0.3">
      <c r="A4391" t="s">
        <v>3693</v>
      </c>
      <c r="B4391" t="s">
        <v>184</v>
      </c>
    </row>
    <row r="4392" spans="1:2" x14ac:dyDescent="0.3">
      <c r="A4392" t="s">
        <v>3694</v>
      </c>
      <c r="B4392" t="s">
        <v>184</v>
      </c>
    </row>
    <row r="4393" spans="1:2" x14ac:dyDescent="0.3">
      <c r="A4393" t="s">
        <v>3695</v>
      </c>
      <c r="B4393" t="s">
        <v>184</v>
      </c>
    </row>
    <row r="4394" spans="1:2" x14ac:dyDescent="0.3">
      <c r="A4394" t="s">
        <v>3696</v>
      </c>
      <c r="B4394" t="s">
        <v>184</v>
      </c>
    </row>
    <row r="4395" spans="1:2" x14ac:dyDescent="0.3">
      <c r="A4395" t="s">
        <v>3697</v>
      </c>
      <c r="B4395" t="s">
        <v>184</v>
      </c>
    </row>
    <row r="4396" spans="1:2" x14ac:dyDescent="0.3">
      <c r="A4396" t="s">
        <v>3698</v>
      </c>
      <c r="B4396" t="s">
        <v>184</v>
      </c>
    </row>
    <row r="4397" spans="1:2" x14ac:dyDescent="0.3">
      <c r="A4397" t="s">
        <v>3699</v>
      </c>
      <c r="B4397" t="s">
        <v>184</v>
      </c>
    </row>
    <row r="4398" spans="1:2" x14ac:dyDescent="0.3">
      <c r="A4398" t="s">
        <v>3700</v>
      </c>
      <c r="B4398" t="s">
        <v>77</v>
      </c>
    </row>
    <row r="4399" spans="1:2" x14ac:dyDescent="0.3">
      <c r="A4399" t="s">
        <v>3701</v>
      </c>
      <c r="B4399" t="s">
        <v>77</v>
      </c>
    </row>
    <row r="4400" spans="1:2" x14ac:dyDescent="0.3">
      <c r="A4400" t="s">
        <v>3702</v>
      </c>
      <c r="B4400" t="s">
        <v>77</v>
      </c>
    </row>
    <row r="4401" spans="1:2" x14ac:dyDescent="0.3">
      <c r="A4401" t="s">
        <v>3703</v>
      </c>
      <c r="B4401" t="s">
        <v>2222</v>
      </c>
    </row>
    <row r="4402" spans="1:2" x14ac:dyDescent="0.3">
      <c r="A4402" t="s">
        <v>3704</v>
      </c>
      <c r="B4402" t="s">
        <v>1762</v>
      </c>
    </row>
    <row r="4403" spans="1:2" x14ac:dyDescent="0.3">
      <c r="A4403" t="s">
        <v>3705</v>
      </c>
      <c r="B4403" t="s">
        <v>690</v>
      </c>
    </row>
    <row r="4404" spans="1:2" x14ac:dyDescent="0.3">
      <c r="A4404" t="s">
        <v>3706</v>
      </c>
      <c r="B4404" t="s">
        <v>690</v>
      </c>
    </row>
    <row r="4405" spans="1:2" x14ac:dyDescent="0.3">
      <c r="A4405" t="s">
        <v>3707</v>
      </c>
      <c r="B4405" t="s">
        <v>690</v>
      </c>
    </row>
    <row r="4406" spans="1:2" x14ac:dyDescent="0.3">
      <c r="A4406" t="s">
        <v>3708</v>
      </c>
      <c r="B4406" t="s">
        <v>1718</v>
      </c>
    </row>
    <row r="4407" spans="1:2" x14ac:dyDescent="0.3">
      <c r="A4407" t="s">
        <v>3709</v>
      </c>
      <c r="B4407" t="s">
        <v>1718</v>
      </c>
    </row>
    <row r="4408" spans="1:2" x14ac:dyDescent="0.3">
      <c r="A4408" t="s">
        <v>3710</v>
      </c>
      <c r="B4408" t="s">
        <v>1718</v>
      </c>
    </row>
    <row r="4409" spans="1:2" x14ac:dyDescent="0.3">
      <c r="A4409" t="s">
        <v>3711</v>
      </c>
      <c r="B4409" t="s">
        <v>1718</v>
      </c>
    </row>
    <row r="4410" spans="1:2" x14ac:dyDescent="0.3">
      <c r="A4410" t="s">
        <v>3712</v>
      </c>
      <c r="B4410" t="s">
        <v>1718</v>
      </c>
    </row>
    <row r="4411" spans="1:2" x14ac:dyDescent="0.3">
      <c r="A4411" t="s">
        <v>3713</v>
      </c>
      <c r="B4411" t="s">
        <v>1718</v>
      </c>
    </row>
    <row r="4412" spans="1:2" x14ac:dyDescent="0.3">
      <c r="A4412" t="s">
        <v>3714</v>
      </c>
      <c r="B4412" t="s">
        <v>1718</v>
      </c>
    </row>
    <row r="4413" spans="1:2" x14ac:dyDescent="0.3">
      <c r="A4413" t="s">
        <v>3715</v>
      </c>
      <c r="B4413" t="s">
        <v>1718</v>
      </c>
    </row>
    <row r="4414" spans="1:2" x14ac:dyDescent="0.3">
      <c r="A4414" t="s">
        <v>3716</v>
      </c>
      <c r="B4414" t="s">
        <v>1718</v>
      </c>
    </row>
    <row r="4415" spans="1:2" x14ac:dyDescent="0.3">
      <c r="A4415" t="s">
        <v>3717</v>
      </c>
      <c r="B4415" t="s">
        <v>1718</v>
      </c>
    </row>
    <row r="4416" spans="1:2" x14ac:dyDescent="0.3">
      <c r="A4416" t="s">
        <v>3718</v>
      </c>
      <c r="B4416" t="s">
        <v>1718</v>
      </c>
    </row>
    <row r="4417" spans="1:2" x14ac:dyDescent="0.3">
      <c r="A4417" t="s">
        <v>3719</v>
      </c>
      <c r="B4417" t="s">
        <v>1718</v>
      </c>
    </row>
    <row r="4418" spans="1:2" x14ac:dyDescent="0.3">
      <c r="A4418" t="s">
        <v>3720</v>
      </c>
      <c r="B4418" t="s">
        <v>1718</v>
      </c>
    </row>
    <row r="4419" spans="1:2" x14ac:dyDescent="0.3">
      <c r="A4419" t="s">
        <v>3721</v>
      </c>
      <c r="B4419" t="s">
        <v>1718</v>
      </c>
    </row>
    <row r="4420" spans="1:2" x14ac:dyDescent="0.3">
      <c r="A4420" t="s">
        <v>3722</v>
      </c>
      <c r="B4420" t="s">
        <v>1718</v>
      </c>
    </row>
    <row r="4421" spans="1:2" x14ac:dyDescent="0.3">
      <c r="A4421" t="s">
        <v>3723</v>
      </c>
      <c r="B4421" t="s">
        <v>1718</v>
      </c>
    </row>
    <row r="4422" spans="1:2" x14ac:dyDescent="0.3">
      <c r="A4422" t="s">
        <v>3724</v>
      </c>
      <c r="B4422" t="s">
        <v>1718</v>
      </c>
    </row>
    <row r="4423" spans="1:2" x14ac:dyDescent="0.3">
      <c r="A4423" t="s">
        <v>3725</v>
      </c>
      <c r="B4423" t="s">
        <v>1718</v>
      </c>
    </row>
    <row r="4424" spans="1:2" x14ac:dyDescent="0.3">
      <c r="A4424" t="s">
        <v>3726</v>
      </c>
      <c r="B4424" t="s">
        <v>1718</v>
      </c>
    </row>
    <row r="4425" spans="1:2" x14ac:dyDescent="0.3">
      <c r="A4425" t="s">
        <v>3727</v>
      </c>
      <c r="B4425" t="s">
        <v>1718</v>
      </c>
    </row>
    <row r="4426" spans="1:2" x14ac:dyDescent="0.3">
      <c r="A4426" t="s">
        <v>3728</v>
      </c>
      <c r="B4426" t="s">
        <v>1718</v>
      </c>
    </row>
    <row r="4427" spans="1:2" x14ac:dyDescent="0.3">
      <c r="A4427" t="s">
        <v>3729</v>
      </c>
      <c r="B4427" t="s">
        <v>1718</v>
      </c>
    </row>
    <row r="4428" spans="1:2" x14ac:dyDescent="0.3">
      <c r="A4428" t="s">
        <v>3730</v>
      </c>
      <c r="B4428" t="s">
        <v>1718</v>
      </c>
    </row>
    <row r="4429" spans="1:2" x14ac:dyDescent="0.3">
      <c r="A4429" t="s">
        <v>3731</v>
      </c>
      <c r="B4429" t="s">
        <v>1718</v>
      </c>
    </row>
    <row r="4430" spans="1:2" x14ac:dyDescent="0.3">
      <c r="A4430" t="s">
        <v>3732</v>
      </c>
      <c r="B4430" t="s">
        <v>1718</v>
      </c>
    </row>
    <row r="4431" spans="1:2" x14ac:dyDescent="0.3">
      <c r="A4431" t="s">
        <v>3733</v>
      </c>
      <c r="B4431" t="s">
        <v>1718</v>
      </c>
    </row>
    <row r="4432" spans="1:2" x14ac:dyDescent="0.3">
      <c r="A4432" t="s">
        <v>3734</v>
      </c>
      <c r="B4432" t="s">
        <v>1694</v>
      </c>
    </row>
    <row r="4433" spans="1:2" x14ac:dyDescent="0.3">
      <c r="A4433" t="s">
        <v>3735</v>
      </c>
      <c r="B4433" t="s">
        <v>1694</v>
      </c>
    </row>
    <row r="4434" spans="1:2" x14ac:dyDescent="0.3">
      <c r="A4434" t="s">
        <v>3736</v>
      </c>
      <c r="B4434" t="s">
        <v>1694</v>
      </c>
    </row>
    <row r="4435" spans="1:2" x14ac:dyDescent="0.3">
      <c r="A4435" t="s">
        <v>3737</v>
      </c>
      <c r="B4435" t="s">
        <v>1694</v>
      </c>
    </row>
    <row r="4436" spans="1:2" x14ac:dyDescent="0.3">
      <c r="A4436" t="s">
        <v>3738</v>
      </c>
      <c r="B4436" t="s">
        <v>1694</v>
      </c>
    </row>
    <row r="4437" spans="1:2" x14ac:dyDescent="0.3">
      <c r="A4437" t="s">
        <v>3739</v>
      </c>
      <c r="B4437" t="s">
        <v>1691</v>
      </c>
    </row>
    <row r="4438" spans="1:2" x14ac:dyDescent="0.3">
      <c r="A4438" t="s">
        <v>3740</v>
      </c>
      <c r="B4438" t="s">
        <v>1743</v>
      </c>
    </row>
    <row r="4439" spans="1:2" x14ac:dyDescent="0.3">
      <c r="A4439" t="s">
        <v>3741</v>
      </c>
      <c r="B4439" t="s">
        <v>1689</v>
      </c>
    </row>
    <row r="4440" spans="1:2" x14ac:dyDescent="0.3">
      <c r="A4440" t="s">
        <v>3742</v>
      </c>
      <c r="B4440" t="s">
        <v>3743</v>
      </c>
    </row>
    <row r="4441" spans="1:2" x14ac:dyDescent="0.3">
      <c r="A4441" t="s">
        <v>3744</v>
      </c>
      <c r="B4441" t="s">
        <v>1680</v>
      </c>
    </row>
    <row r="4442" spans="1:2" x14ac:dyDescent="0.3">
      <c r="A4442" t="s">
        <v>3745</v>
      </c>
      <c r="B4442" t="s">
        <v>1683</v>
      </c>
    </row>
    <row r="4443" spans="1:2" x14ac:dyDescent="0.3">
      <c r="A4443" t="s">
        <v>3746</v>
      </c>
      <c r="B4443" t="s">
        <v>1683</v>
      </c>
    </row>
    <row r="4444" spans="1:2" x14ac:dyDescent="0.3">
      <c r="A4444" t="s">
        <v>3747</v>
      </c>
      <c r="B4444" t="s">
        <v>1683</v>
      </c>
    </row>
    <row r="4445" spans="1:2" x14ac:dyDescent="0.3">
      <c r="A4445" t="s">
        <v>3748</v>
      </c>
      <c r="B4445" t="s">
        <v>1683</v>
      </c>
    </row>
    <row r="4446" spans="1:2" x14ac:dyDescent="0.3">
      <c r="A4446" t="s">
        <v>3749</v>
      </c>
      <c r="B4446" t="s">
        <v>1680</v>
      </c>
    </row>
    <row r="4447" spans="1:2" x14ac:dyDescent="0.3">
      <c r="A4447" t="s">
        <v>3750</v>
      </c>
      <c r="B4447" t="s">
        <v>1680</v>
      </c>
    </row>
    <row r="4448" spans="1:2" x14ac:dyDescent="0.3">
      <c r="A4448" t="s">
        <v>3751</v>
      </c>
      <c r="B4448" t="s">
        <v>1680</v>
      </c>
    </row>
    <row r="4449" spans="1:2" x14ac:dyDescent="0.3">
      <c r="A4449" t="s">
        <v>3752</v>
      </c>
      <c r="B4449" t="s">
        <v>1680</v>
      </c>
    </row>
    <row r="4450" spans="1:2" x14ac:dyDescent="0.3">
      <c r="A4450" t="s">
        <v>3753</v>
      </c>
      <c r="B4450" t="s">
        <v>1680</v>
      </c>
    </row>
    <row r="4451" spans="1:2" x14ac:dyDescent="0.3">
      <c r="A4451" t="s">
        <v>3754</v>
      </c>
      <c r="B4451" t="s">
        <v>1680</v>
      </c>
    </row>
    <row r="4452" spans="1:2" x14ac:dyDescent="0.3">
      <c r="A4452" t="s">
        <v>3755</v>
      </c>
      <c r="B4452" t="s">
        <v>1680</v>
      </c>
    </row>
    <row r="4453" spans="1:2" x14ac:dyDescent="0.3">
      <c r="A4453" t="s">
        <v>3756</v>
      </c>
      <c r="B4453" t="s">
        <v>1680</v>
      </c>
    </row>
    <row r="4454" spans="1:2" x14ac:dyDescent="0.3">
      <c r="A4454" t="s">
        <v>3757</v>
      </c>
      <c r="B4454" t="s">
        <v>1680</v>
      </c>
    </row>
    <row r="4455" spans="1:2" x14ac:dyDescent="0.3">
      <c r="A4455" t="s">
        <v>3758</v>
      </c>
      <c r="B4455" t="s">
        <v>1680</v>
      </c>
    </row>
    <row r="4456" spans="1:2" x14ac:dyDescent="0.3">
      <c r="A4456" t="s">
        <v>3759</v>
      </c>
      <c r="B4456" t="s">
        <v>1680</v>
      </c>
    </row>
    <row r="4457" spans="1:2" x14ac:dyDescent="0.3">
      <c r="A4457" t="s">
        <v>3760</v>
      </c>
      <c r="B4457" t="s">
        <v>1680</v>
      </c>
    </row>
    <row r="4458" spans="1:2" x14ac:dyDescent="0.3">
      <c r="A4458" t="s">
        <v>3761</v>
      </c>
      <c r="B4458" t="s">
        <v>1677</v>
      </c>
    </row>
    <row r="4459" spans="1:2" x14ac:dyDescent="0.3">
      <c r="A4459" t="s">
        <v>3762</v>
      </c>
      <c r="B4459" t="s">
        <v>1677</v>
      </c>
    </row>
    <row r="4460" spans="1:2" x14ac:dyDescent="0.3">
      <c r="A4460" t="s">
        <v>3763</v>
      </c>
      <c r="B4460" t="s">
        <v>1677</v>
      </c>
    </row>
    <row r="4461" spans="1:2" x14ac:dyDescent="0.3">
      <c r="A4461" t="s">
        <v>3764</v>
      </c>
      <c r="B4461" t="s">
        <v>1677</v>
      </c>
    </row>
    <row r="4462" spans="1:2" x14ac:dyDescent="0.3">
      <c r="A4462" t="s">
        <v>3765</v>
      </c>
      <c r="B4462" t="s">
        <v>1677</v>
      </c>
    </row>
    <row r="4463" spans="1:2" x14ac:dyDescent="0.3">
      <c r="A4463" t="s">
        <v>3766</v>
      </c>
      <c r="B4463" t="s">
        <v>1677</v>
      </c>
    </row>
    <row r="4464" spans="1:2" x14ac:dyDescent="0.3">
      <c r="A4464" t="s">
        <v>3767</v>
      </c>
      <c r="B4464" t="s">
        <v>260</v>
      </c>
    </row>
    <row r="4465" spans="1:2" x14ac:dyDescent="0.3">
      <c r="A4465" t="s">
        <v>1622</v>
      </c>
      <c r="B4465" t="s">
        <v>260</v>
      </c>
    </row>
    <row r="4466" spans="1:2" x14ac:dyDescent="0.3">
      <c r="A4466" t="s">
        <v>3768</v>
      </c>
      <c r="B4466" t="s">
        <v>260</v>
      </c>
    </row>
    <row r="4467" spans="1:2" x14ac:dyDescent="0.3">
      <c r="A4467" t="s">
        <v>3769</v>
      </c>
      <c r="B4467" t="s">
        <v>260</v>
      </c>
    </row>
    <row r="4468" spans="1:2" x14ac:dyDescent="0.3">
      <c r="A4468" t="s">
        <v>3770</v>
      </c>
      <c r="B4468" t="s">
        <v>260</v>
      </c>
    </row>
    <row r="4469" spans="1:2" x14ac:dyDescent="0.3">
      <c r="A4469" t="s">
        <v>3771</v>
      </c>
      <c r="B4469" t="s">
        <v>201</v>
      </c>
    </row>
    <row r="4470" spans="1:2" x14ac:dyDescent="0.3">
      <c r="A4470" t="s">
        <v>3772</v>
      </c>
      <c r="B4470" t="s">
        <v>139</v>
      </c>
    </row>
    <row r="4471" spans="1:2" x14ac:dyDescent="0.3">
      <c r="A4471" t="s">
        <v>3773</v>
      </c>
      <c r="B4471" t="s">
        <v>1636</v>
      </c>
    </row>
    <row r="4472" spans="1:2" x14ac:dyDescent="0.3">
      <c r="A4472" t="s">
        <v>3774</v>
      </c>
      <c r="B4472" t="s">
        <v>1636</v>
      </c>
    </row>
    <row r="4473" spans="1:2" x14ac:dyDescent="0.3">
      <c r="A4473" t="s">
        <v>3775</v>
      </c>
      <c r="B4473" t="s">
        <v>1632</v>
      </c>
    </row>
    <row r="4474" spans="1:2" x14ac:dyDescent="0.3">
      <c r="A4474" t="s">
        <v>3776</v>
      </c>
      <c r="B4474" t="s">
        <v>1632</v>
      </c>
    </row>
    <row r="4475" spans="1:2" x14ac:dyDescent="0.3">
      <c r="A4475" t="s">
        <v>3777</v>
      </c>
      <c r="B4475" t="s">
        <v>1622</v>
      </c>
    </row>
    <row r="4476" spans="1:2" x14ac:dyDescent="0.3">
      <c r="A4476" t="s">
        <v>3778</v>
      </c>
      <c r="B4476" t="s">
        <v>1622</v>
      </c>
    </row>
    <row r="4477" spans="1:2" x14ac:dyDescent="0.3">
      <c r="A4477" t="s">
        <v>3779</v>
      </c>
      <c r="B4477" t="s">
        <v>1622</v>
      </c>
    </row>
    <row r="4478" spans="1:2" x14ac:dyDescent="0.3">
      <c r="A4478" t="s">
        <v>3780</v>
      </c>
      <c r="B4478" t="s">
        <v>1622</v>
      </c>
    </row>
    <row r="4479" spans="1:2" x14ac:dyDescent="0.3">
      <c r="A4479" t="s">
        <v>3781</v>
      </c>
      <c r="B4479" t="s">
        <v>1622</v>
      </c>
    </row>
    <row r="4480" spans="1:2" x14ac:dyDescent="0.3">
      <c r="A4480" t="s">
        <v>3782</v>
      </c>
      <c r="B4480" t="s">
        <v>1622</v>
      </c>
    </row>
    <row r="4481" spans="1:2" x14ac:dyDescent="0.3">
      <c r="A4481" t="s">
        <v>3783</v>
      </c>
      <c r="B4481" t="s">
        <v>1622</v>
      </c>
    </row>
    <row r="4482" spans="1:2" x14ac:dyDescent="0.3">
      <c r="A4482" t="s">
        <v>3784</v>
      </c>
      <c r="B4482" t="s">
        <v>258</v>
      </c>
    </row>
    <row r="4483" spans="1:2" x14ac:dyDescent="0.3">
      <c r="A4483" t="s">
        <v>3785</v>
      </c>
      <c r="B4483" t="s">
        <v>258</v>
      </c>
    </row>
    <row r="4484" spans="1:2" x14ac:dyDescent="0.3">
      <c r="A4484" t="s">
        <v>3786</v>
      </c>
      <c r="B4484" t="s">
        <v>258</v>
      </c>
    </row>
    <row r="4485" spans="1:2" x14ac:dyDescent="0.3">
      <c r="A4485" t="s">
        <v>3787</v>
      </c>
      <c r="B4485" t="s">
        <v>258</v>
      </c>
    </row>
    <row r="4486" spans="1:2" x14ac:dyDescent="0.3">
      <c r="A4486" t="s">
        <v>3788</v>
      </c>
      <c r="B4486" t="s">
        <v>139</v>
      </c>
    </row>
    <row r="4487" spans="1:2" x14ac:dyDescent="0.3">
      <c r="A4487" t="s">
        <v>3789</v>
      </c>
      <c r="B4487" t="s">
        <v>139</v>
      </c>
    </row>
    <row r="4488" spans="1:2" x14ac:dyDescent="0.3">
      <c r="A4488" t="s">
        <v>3790</v>
      </c>
      <c r="B4488" t="s">
        <v>139</v>
      </c>
    </row>
    <row r="4489" spans="1:2" x14ac:dyDescent="0.3">
      <c r="A4489" t="s">
        <v>3791</v>
      </c>
      <c r="B4489" t="s">
        <v>139</v>
      </c>
    </row>
    <row r="4490" spans="1:2" x14ac:dyDescent="0.3">
      <c r="A4490" t="s">
        <v>3792</v>
      </c>
      <c r="B4490" t="s">
        <v>1874</v>
      </c>
    </row>
    <row r="4491" spans="1:2" x14ac:dyDescent="0.3">
      <c r="A4491" t="s">
        <v>3793</v>
      </c>
      <c r="B4491" t="s">
        <v>1538</v>
      </c>
    </row>
    <row r="4492" spans="1:2" x14ac:dyDescent="0.3">
      <c r="A4492" t="s">
        <v>3794</v>
      </c>
      <c r="B4492" t="s">
        <v>1538</v>
      </c>
    </row>
    <row r="4493" spans="1:2" x14ac:dyDescent="0.3">
      <c r="A4493" t="s">
        <v>3795</v>
      </c>
      <c r="B4493" t="s">
        <v>1874</v>
      </c>
    </row>
    <row r="4494" spans="1:2" x14ac:dyDescent="0.3">
      <c r="A4494" t="s">
        <v>3796</v>
      </c>
      <c r="B4494" t="s">
        <v>1874</v>
      </c>
    </row>
    <row r="4495" spans="1:2" x14ac:dyDescent="0.3">
      <c r="A4495" t="s">
        <v>3797</v>
      </c>
      <c r="B4495" t="s">
        <v>1874</v>
      </c>
    </row>
    <row r="4496" spans="1:2" x14ac:dyDescent="0.3">
      <c r="A4496" t="s">
        <v>3798</v>
      </c>
      <c r="B4496" t="s">
        <v>1874</v>
      </c>
    </row>
    <row r="4497" spans="1:2" x14ac:dyDescent="0.3">
      <c r="A4497" t="s">
        <v>3799</v>
      </c>
      <c r="B4497" t="s">
        <v>1874</v>
      </c>
    </row>
    <row r="4498" spans="1:2" x14ac:dyDescent="0.3">
      <c r="A4498" t="s">
        <v>3800</v>
      </c>
      <c r="B4498" t="s">
        <v>1874</v>
      </c>
    </row>
    <row r="4499" spans="1:2" x14ac:dyDescent="0.3">
      <c r="A4499" t="s">
        <v>3801</v>
      </c>
      <c r="B4499" t="s">
        <v>1874</v>
      </c>
    </row>
    <row r="4500" spans="1:2" x14ac:dyDescent="0.3">
      <c r="A4500" t="s">
        <v>3802</v>
      </c>
      <c r="B4500" t="s">
        <v>1874</v>
      </c>
    </row>
    <row r="4501" spans="1:2" x14ac:dyDescent="0.3">
      <c r="A4501" t="s">
        <v>3803</v>
      </c>
      <c r="B4501" t="s">
        <v>1874</v>
      </c>
    </row>
    <row r="4502" spans="1:2" x14ac:dyDescent="0.3">
      <c r="A4502" t="s">
        <v>3804</v>
      </c>
      <c r="B4502" t="s">
        <v>1874</v>
      </c>
    </row>
    <row r="4503" spans="1:2" x14ac:dyDescent="0.3">
      <c r="A4503" t="s">
        <v>3805</v>
      </c>
      <c r="B4503" t="s">
        <v>1874</v>
      </c>
    </row>
    <row r="4504" spans="1:2" x14ac:dyDescent="0.3">
      <c r="A4504" t="s">
        <v>3806</v>
      </c>
      <c r="B4504" t="s">
        <v>1874</v>
      </c>
    </row>
    <row r="4505" spans="1:2" x14ac:dyDescent="0.3">
      <c r="A4505" t="s">
        <v>3807</v>
      </c>
      <c r="B4505" t="s">
        <v>1874</v>
      </c>
    </row>
    <row r="4506" spans="1:2" x14ac:dyDescent="0.3">
      <c r="A4506" t="s">
        <v>3808</v>
      </c>
      <c r="B4506" t="s">
        <v>1874</v>
      </c>
    </row>
    <row r="4507" spans="1:2" x14ac:dyDescent="0.3">
      <c r="A4507" t="s">
        <v>3809</v>
      </c>
      <c r="B4507" t="s">
        <v>1874</v>
      </c>
    </row>
    <row r="4508" spans="1:2" x14ac:dyDescent="0.3">
      <c r="A4508" t="s">
        <v>3810</v>
      </c>
      <c r="B4508" t="s">
        <v>1874</v>
      </c>
    </row>
    <row r="4509" spans="1:2" x14ac:dyDescent="0.3">
      <c r="A4509" t="s">
        <v>3811</v>
      </c>
      <c r="B4509" t="s">
        <v>1874</v>
      </c>
    </row>
    <row r="4510" spans="1:2" x14ac:dyDescent="0.3">
      <c r="A4510" t="s">
        <v>3812</v>
      </c>
      <c r="B4510" t="s">
        <v>1534</v>
      </c>
    </row>
    <row r="4511" spans="1:2" x14ac:dyDescent="0.3">
      <c r="A4511" t="s">
        <v>3813</v>
      </c>
      <c r="B4511" t="s">
        <v>1534</v>
      </c>
    </row>
    <row r="4512" spans="1:2" x14ac:dyDescent="0.3">
      <c r="A4512" t="s">
        <v>3814</v>
      </c>
      <c r="B4512" t="s">
        <v>1527</v>
      </c>
    </row>
    <row r="4513" spans="1:2" x14ac:dyDescent="0.3">
      <c r="A4513" t="s">
        <v>3815</v>
      </c>
      <c r="B4513" t="s">
        <v>1527</v>
      </c>
    </row>
    <row r="4514" spans="1:2" x14ac:dyDescent="0.3">
      <c r="A4514" t="s">
        <v>3816</v>
      </c>
      <c r="B4514" t="s">
        <v>1523</v>
      </c>
    </row>
    <row r="4515" spans="1:2" x14ac:dyDescent="0.3">
      <c r="A4515" t="s">
        <v>3817</v>
      </c>
      <c r="B4515" t="s">
        <v>1523</v>
      </c>
    </row>
    <row r="4516" spans="1:2" x14ac:dyDescent="0.3">
      <c r="A4516" t="s">
        <v>3818</v>
      </c>
      <c r="B4516" t="s">
        <v>1523</v>
      </c>
    </row>
    <row r="4517" spans="1:2" x14ac:dyDescent="0.3">
      <c r="A4517" t="s">
        <v>3819</v>
      </c>
      <c r="B4517" t="s">
        <v>1516</v>
      </c>
    </row>
    <row r="4518" spans="1:2" x14ac:dyDescent="0.3">
      <c r="A4518" t="s">
        <v>3820</v>
      </c>
      <c r="B4518" t="s">
        <v>1138</v>
      </c>
    </row>
    <row r="4519" spans="1:2" x14ac:dyDescent="0.3">
      <c r="A4519" t="s">
        <v>3821</v>
      </c>
      <c r="B4519" t="s">
        <v>1138</v>
      </c>
    </row>
    <row r="4520" spans="1:2" x14ac:dyDescent="0.3">
      <c r="A4520" t="s">
        <v>3822</v>
      </c>
      <c r="B4520" t="s">
        <v>103</v>
      </c>
    </row>
    <row r="4521" spans="1:2" x14ac:dyDescent="0.3">
      <c r="A4521" t="s">
        <v>3823</v>
      </c>
      <c r="B4521" t="s">
        <v>103</v>
      </c>
    </row>
    <row r="4522" spans="1:2" x14ac:dyDescent="0.3">
      <c r="A4522" t="s">
        <v>3824</v>
      </c>
      <c r="B4522" t="s">
        <v>103</v>
      </c>
    </row>
    <row r="4523" spans="1:2" x14ac:dyDescent="0.3">
      <c r="A4523" t="s">
        <v>3825</v>
      </c>
      <c r="B4523" t="s">
        <v>103</v>
      </c>
    </row>
    <row r="4524" spans="1:2" x14ac:dyDescent="0.3">
      <c r="A4524" t="s">
        <v>3826</v>
      </c>
      <c r="B4524" t="s">
        <v>103</v>
      </c>
    </row>
    <row r="4525" spans="1:2" x14ac:dyDescent="0.3">
      <c r="A4525" t="s">
        <v>3827</v>
      </c>
      <c r="B4525" t="s">
        <v>103</v>
      </c>
    </row>
    <row r="4526" spans="1:2" x14ac:dyDescent="0.3">
      <c r="A4526" t="s">
        <v>3828</v>
      </c>
      <c r="B4526" t="s">
        <v>103</v>
      </c>
    </row>
    <row r="4527" spans="1:2" x14ac:dyDescent="0.3">
      <c r="A4527" t="s">
        <v>3829</v>
      </c>
      <c r="B4527" t="s">
        <v>103</v>
      </c>
    </row>
    <row r="4528" spans="1:2" x14ac:dyDescent="0.3">
      <c r="A4528" t="s">
        <v>3830</v>
      </c>
      <c r="B4528" t="s">
        <v>103</v>
      </c>
    </row>
    <row r="4529" spans="1:2" x14ac:dyDescent="0.3">
      <c r="A4529" t="s">
        <v>3831</v>
      </c>
      <c r="B4529" t="s">
        <v>1447</v>
      </c>
    </row>
    <row r="4530" spans="1:2" x14ac:dyDescent="0.3">
      <c r="A4530" t="s">
        <v>3832</v>
      </c>
      <c r="B4530" t="s">
        <v>190</v>
      </c>
    </row>
    <row r="4531" spans="1:2" x14ac:dyDescent="0.3">
      <c r="A4531" t="s">
        <v>3833</v>
      </c>
      <c r="B4531" t="s">
        <v>165</v>
      </c>
    </row>
    <row r="4532" spans="1:2" x14ac:dyDescent="0.3">
      <c r="A4532" t="s">
        <v>3834</v>
      </c>
      <c r="B4532" t="s">
        <v>165</v>
      </c>
    </row>
    <row r="4533" spans="1:2" x14ac:dyDescent="0.3">
      <c r="A4533" t="s">
        <v>3835</v>
      </c>
      <c r="B4533" t="s">
        <v>183</v>
      </c>
    </row>
    <row r="4534" spans="1:2" x14ac:dyDescent="0.3">
      <c r="A4534" t="s">
        <v>3836</v>
      </c>
      <c r="B4534" t="s">
        <v>183</v>
      </c>
    </row>
    <row r="4535" spans="1:2" x14ac:dyDescent="0.3">
      <c r="A4535" t="s">
        <v>3837</v>
      </c>
      <c r="B4535" t="s">
        <v>183</v>
      </c>
    </row>
    <row r="4536" spans="1:2" x14ac:dyDescent="0.3">
      <c r="A4536" t="s">
        <v>3838</v>
      </c>
      <c r="B4536" t="s">
        <v>180</v>
      </c>
    </row>
    <row r="4537" spans="1:2" x14ac:dyDescent="0.3">
      <c r="A4537" t="s">
        <v>3839</v>
      </c>
      <c r="B4537" t="s">
        <v>2</v>
      </c>
    </row>
    <row r="4538" spans="1:2" x14ac:dyDescent="0.3">
      <c r="A4538" t="s">
        <v>3840</v>
      </c>
      <c r="B4538" t="s">
        <v>2</v>
      </c>
    </row>
    <row r="4539" spans="1:2" x14ac:dyDescent="0.3">
      <c r="B4539" t="s">
        <v>1728</v>
      </c>
    </row>
    <row r="4540" spans="1:2" x14ac:dyDescent="0.3">
      <c r="A4540" t="s">
        <v>3841</v>
      </c>
      <c r="B4540" t="s">
        <v>2</v>
      </c>
    </row>
    <row r="4541" spans="1:2" x14ac:dyDescent="0.3">
      <c r="A4541" t="s">
        <v>3842</v>
      </c>
      <c r="B4541" t="s">
        <v>2</v>
      </c>
    </row>
    <row r="4542" spans="1:2" x14ac:dyDescent="0.3">
      <c r="A4542" t="s">
        <v>3843</v>
      </c>
      <c r="B4542" t="s">
        <v>181</v>
      </c>
    </row>
    <row r="4543" spans="1:2" x14ac:dyDescent="0.3">
      <c r="A4543" t="s">
        <v>3844</v>
      </c>
      <c r="B4543" t="s">
        <v>1172</v>
      </c>
    </row>
    <row r="4544" spans="1:2" x14ac:dyDescent="0.3">
      <c r="A4544" t="s">
        <v>3845</v>
      </c>
      <c r="B4544" t="s">
        <v>1</v>
      </c>
    </row>
    <row r="4545" spans="1:2" x14ac:dyDescent="0.3">
      <c r="A4545" t="s">
        <v>3846</v>
      </c>
      <c r="B4545" t="s">
        <v>249</v>
      </c>
    </row>
    <row r="4546" spans="1:2" x14ac:dyDescent="0.3">
      <c r="A4546" t="s">
        <v>3847</v>
      </c>
      <c r="B4546" t="s">
        <v>1</v>
      </c>
    </row>
    <row r="4547" spans="1:2" x14ac:dyDescent="0.3">
      <c r="A4547" t="s">
        <v>3848</v>
      </c>
      <c r="B4547" t="s">
        <v>1</v>
      </c>
    </row>
    <row r="4548" spans="1:2" x14ac:dyDescent="0.3">
      <c r="A4548" t="s">
        <v>3849</v>
      </c>
      <c r="B4548" t="s">
        <v>1</v>
      </c>
    </row>
    <row r="4549" spans="1:2" x14ac:dyDescent="0.3">
      <c r="A4549" t="s">
        <v>3850</v>
      </c>
      <c r="B4549" t="s">
        <v>1</v>
      </c>
    </row>
    <row r="4550" spans="1:2" x14ac:dyDescent="0.3">
      <c r="A4550" t="s">
        <v>3851</v>
      </c>
      <c r="B4550" t="s">
        <v>1</v>
      </c>
    </row>
    <row r="4551" spans="1:2" x14ac:dyDescent="0.3">
      <c r="A4551" t="s">
        <v>3852</v>
      </c>
      <c r="B4551" t="s">
        <v>1</v>
      </c>
    </row>
    <row r="4552" spans="1:2" x14ac:dyDescent="0.3">
      <c r="A4552" t="s">
        <v>3853</v>
      </c>
      <c r="B4552" t="s">
        <v>1</v>
      </c>
    </row>
    <row r="4553" spans="1:2" x14ac:dyDescent="0.3">
      <c r="A4553" t="s">
        <v>3854</v>
      </c>
      <c r="B4553" t="s">
        <v>1</v>
      </c>
    </row>
    <row r="4554" spans="1:2" x14ac:dyDescent="0.3">
      <c r="A4554" t="s">
        <v>3855</v>
      </c>
      <c r="B4554" t="s">
        <v>1</v>
      </c>
    </row>
    <row r="4555" spans="1:2" x14ac:dyDescent="0.3">
      <c r="A4555" t="s">
        <v>3856</v>
      </c>
      <c r="B4555" t="s">
        <v>1</v>
      </c>
    </row>
    <row r="4556" spans="1:2" x14ac:dyDescent="0.3">
      <c r="A4556" t="s">
        <v>3857</v>
      </c>
      <c r="B4556" t="s">
        <v>1</v>
      </c>
    </row>
    <row r="4557" spans="1:2" x14ac:dyDescent="0.3">
      <c r="A4557" t="s">
        <v>3858</v>
      </c>
      <c r="B4557" t="s">
        <v>1</v>
      </c>
    </row>
    <row r="4558" spans="1:2" x14ac:dyDescent="0.3">
      <c r="A4558" t="s">
        <v>3859</v>
      </c>
      <c r="B4558" t="s">
        <v>1</v>
      </c>
    </row>
    <row r="4559" spans="1:2" x14ac:dyDescent="0.3">
      <c r="A4559" t="s">
        <v>3860</v>
      </c>
      <c r="B4559" t="s">
        <v>1</v>
      </c>
    </row>
    <row r="4560" spans="1:2" x14ac:dyDescent="0.3">
      <c r="A4560" t="s">
        <v>3861</v>
      </c>
      <c r="B4560" t="s">
        <v>1</v>
      </c>
    </row>
    <row r="4561" spans="1:2" x14ac:dyDescent="0.3">
      <c r="A4561" t="s">
        <v>3862</v>
      </c>
      <c r="B4561" t="s">
        <v>1</v>
      </c>
    </row>
    <row r="4562" spans="1:2" x14ac:dyDescent="0.3">
      <c r="A4562" t="s">
        <v>3863</v>
      </c>
      <c r="B4562" t="s">
        <v>1</v>
      </c>
    </row>
    <row r="4563" spans="1:2" x14ac:dyDescent="0.3">
      <c r="A4563" t="s">
        <v>3864</v>
      </c>
      <c r="B4563" t="s">
        <v>1</v>
      </c>
    </row>
    <row r="4564" spans="1:2" x14ac:dyDescent="0.3">
      <c r="A4564" t="s">
        <v>3865</v>
      </c>
      <c r="B4564" t="s">
        <v>1</v>
      </c>
    </row>
    <row r="4565" spans="1:2" x14ac:dyDescent="0.3">
      <c r="A4565" t="s">
        <v>3866</v>
      </c>
      <c r="B4565" t="s">
        <v>1</v>
      </c>
    </row>
    <row r="4566" spans="1:2" x14ac:dyDescent="0.3">
      <c r="A4566" t="s">
        <v>3867</v>
      </c>
      <c r="B4566" t="s">
        <v>1</v>
      </c>
    </row>
    <row r="4567" spans="1:2" x14ac:dyDescent="0.3">
      <c r="A4567" t="s">
        <v>3868</v>
      </c>
      <c r="B4567" t="s">
        <v>1</v>
      </c>
    </row>
    <row r="4568" spans="1:2" x14ac:dyDescent="0.3">
      <c r="A4568" t="s">
        <v>3869</v>
      </c>
      <c r="B4568" t="s">
        <v>1</v>
      </c>
    </row>
    <row r="4569" spans="1:2" x14ac:dyDescent="0.3">
      <c r="A4569" t="s">
        <v>3870</v>
      </c>
      <c r="B4569" t="s">
        <v>1</v>
      </c>
    </row>
    <row r="4570" spans="1:2" x14ac:dyDescent="0.3">
      <c r="A4570" t="s">
        <v>3871</v>
      </c>
      <c r="B4570" t="s">
        <v>1</v>
      </c>
    </row>
    <row r="4571" spans="1:2" x14ac:dyDescent="0.3">
      <c r="A4571" t="s">
        <v>3872</v>
      </c>
      <c r="B4571" t="s">
        <v>1</v>
      </c>
    </row>
    <row r="4572" spans="1:2" x14ac:dyDescent="0.3">
      <c r="A4572" t="s">
        <v>3873</v>
      </c>
      <c r="B4572" t="s">
        <v>1</v>
      </c>
    </row>
    <row r="4573" spans="1:2" x14ac:dyDescent="0.3">
      <c r="A4573" t="s">
        <v>3874</v>
      </c>
      <c r="B4573" t="s">
        <v>1</v>
      </c>
    </row>
    <row r="4574" spans="1:2" x14ac:dyDescent="0.3">
      <c r="A4574" t="s">
        <v>3875</v>
      </c>
      <c r="B4574" t="s">
        <v>1</v>
      </c>
    </row>
    <row r="4575" spans="1:2" x14ac:dyDescent="0.3">
      <c r="A4575" t="s">
        <v>3876</v>
      </c>
      <c r="B4575" t="s">
        <v>1</v>
      </c>
    </row>
    <row r="4576" spans="1:2" x14ac:dyDescent="0.3">
      <c r="A4576" t="s">
        <v>3877</v>
      </c>
      <c r="B4576" t="s">
        <v>1</v>
      </c>
    </row>
    <row r="4577" spans="1:2" x14ac:dyDescent="0.3">
      <c r="A4577" t="s">
        <v>3878</v>
      </c>
      <c r="B4577" t="s">
        <v>1</v>
      </c>
    </row>
    <row r="4578" spans="1:2" x14ac:dyDescent="0.3">
      <c r="A4578" t="s">
        <v>3879</v>
      </c>
      <c r="B4578" t="s">
        <v>1</v>
      </c>
    </row>
    <row r="4579" spans="1:2" x14ac:dyDescent="0.3">
      <c r="A4579" t="s">
        <v>3880</v>
      </c>
      <c r="B4579" t="s">
        <v>1</v>
      </c>
    </row>
    <row r="4580" spans="1:2" x14ac:dyDescent="0.3">
      <c r="A4580" t="s">
        <v>3881</v>
      </c>
      <c r="B4580" t="s">
        <v>1874</v>
      </c>
    </row>
    <row r="4581" spans="1:2" x14ac:dyDescent="0.3">
      <c r="A4581" t="s">
        <v>3882</v>
      </c>
      <c r="B4581" t="s">
        <v>1</v>
      </c>
    </row>
    <row r="4582" spans="1:2" x14ac:dyDescent="0.3">
      <c r="A4582" t="s">
        <v>3883</v>
      </c>
      <c r="B4582" t="s">
        <v>1</v>
      </c>
    </row>
    <row r="4583" spans="1:2" x14ac:dyDescent="0.3">
      <c r="A4583" t="s">
        <v>3884</v>
      </c>
      <c r="B4583" t="s">
        <v>1</v>
      </c>
    </row>
    <row r="4584" spans="1:2" x14ac:dyDescent="0.3">
      <c r="A4584" t="s">
        <v>3885</v>
      </c>
      <c r="B4584" t="s">
        <v>1</v>
      </c>
    </row>
    <row r="4585" spans="1:2" x14ac:dyDescent="0.3">
      <c r="A4585" t="s">
        <v>3886</v>
      </c>
      <c r="B4585" t="s">
        <v>1</v>
      </c>
    </row>
    <row r="4586" spans="1:2" x14ac:dyDescent="0.3">
      <c r="A4586" t="s">
        <v>3887</v>
      </c>
      <c r="B4586" t="s">
        <v>1</v>
      </c>
    </row>
    <row r="4587" spans="1:2" x14ac:dyDescent="0.3">
      <c r="A4587" t="s">
        <v>3888</v>
      </c>
      <c r="B4587" t="s">
        <v>1</v>
      </c>
    </row>
    <row r="4588" spans="1:2" x14ac:dyDescent="0.3">
      <c r="A4588" t="s">
        <v>3889</v>
      </c>
      <c r="B4588" t="s">
        <v>1</v>
      </c>
    </row>
    <row r="4589" spans="1:2" x14ac:dyDescent="0.3">
      <c r="A4589" t="s">
        <v>3890</v>
      </c>
      <c r="B4589" t="s">
        <v>1</v>
      </c>
    </row>
    <row r="4590" spans="1:2" x14ac:dyDescent="0.3">
      <c r="A4590" t="s">
        <v>3891</v>
      </c>
      <c r="B4590" t="s">
        <v>1</v>
      </c>
    </row>
    <row r="4591" spans="1:2" x14ac:dyDescent="0.3">
      <c r="A4591" t="s">
        <v>3892</v>
      </c>
      <c r="B4591" t="s">
        <v>1</v>
      </c>
    </row>
    <row r="4592" spans="1:2" x14ac:dyDescent="0.3">
      <c r="A4592" t="s">
        <v>3893</v>
      </c>
      <c r="B4592" t="s">
        <v>1</v>
      </c>
    </row>
    <row r="4593" spans="1:2" x14ac:dyDescent="0.3">
      <c r="A4593" t="s">
        <v>3894</v>
      </c>
      <c r="B4593" t="s">
        <v>1</v>
      </c>
    </row>
    <row r="4594" spans="1:2" x14ac:dyDescent="0.3">
      <c r="A4594" t="s">
        <v>3895</v>
      </c>
      <c r="B4594" t="s">
        <v>1</v>
      </c>
    </row>
    <row r="4595" spans="1:2" x14ac:dyDescent="0.3">
      <c r="A4595" t="s">
        <v>3896</v>
      </c>
      <c r="B4595" t="s">
        <v>1</v>
      </c>
    </row>
    <row r="4596" spans="1:2" x14ac:dyDescent="0.3">
      <c r="A4596" t="s">
        <v>3897</v>
      </c>
      <c r="B4596" t="s">
        <v>1</v>
      </c>
    </row>
    <row r="4597" spans="1:2" x14ac:dyDescent="0.3">
      <c r="A4597" t="s">
        <v>3898</v>
      </c>
      <c r="B4597" t="s">
        <v>1</v>
      </c>
    </row>
    <row r="4598" spans="1:2" x14ac:dyDescent="0.3">
      <c r="A4598" t="s">
        <v>3899</v>
      </c>
      <c r="B4598" t="s">
        <v>1</v>
      </c>
    </row>
    <row r="4599" spans="1:2" x14ac:dyDescent="0.3">
      <c r="A4599" t="s">
        <v>3900</v>
      </c>
      <c r="B4599" t="s">
        <v>1</v>
      </c>
    </row>
    <row r="4600" spans="1:2" x14ac:dyDescent="0.3">
      <c r="A4600" t="s">
        <v>3901</v>
      </c>
      <c r="B4600" t="s">
        <v>1</v>
      </c>
    </row>
    <row r="4601" spans="1:2" x14ac:dyDescent="0.3">
      <c r="A4601" t="s">
        <v>3902</v>
      </c>
      <c r="B4601" t="s">
        <v>1</v>
      </c>
    </row>
    <row r="4602" spans="1:2" x14ac:dyDescent="0.3">
      <c r="A4602" t="s">
        <v>3903</v>
      </c>
      <c r="B4602" t="s">
        <v>1</v>
      </c>
    </row>
    <row r="4603" spans="1:2" x14ac:dyDescent="0.3">
      <c r="A4603" t="s">
        <v>3904</v>
      </c>
      <c r="B4603" t="s">
        <v>1</v>
      </c>
    </row>
    <row r="4604" spans="1:2" x14ac:dyDescent="0.3">
      <c r="A4604" t="s">
        <v>3905</v>
      </c>
      <c r="B4604" t="s">
        <v>1</v>
      </c>
    </row>
    <row r="4605" spans="1:2" x14ac:dyDescent="0.3">
      <c r="A4605" t="s">
        <v>3906</v>
      </c>
      <c r="B4605" t="s">
        <v>1</v>
      </c>
    </row>
    <row r="4606" spans="1:2" x14ac:dyDescent="0.3">
      <c r="A4606" t="s">
        <v>3907</v>
      </c>
      <c r="B4606" t="s">
        <v>1</v>
      </c>
    </row>
    <row r="4607" spans="1:2" x14ac:dyDescent="0.3">
      <c r="A4607" t="s">
        <v>3908</v>
      </c>
      <c r="B4607" t="s">
        <v>1</v>
      </c>
    </row>
    <row r="4608" spans="1:2" x14ac:dyDescent="0.3">
      <c r="A4608" t="s">
        <v>3909</v>
      </c>
      <c r="B4608" t="s">
        <v>1</v>
      </c>
    </row>
    <row r="4609" spans="1:2" x14ac:dyDescent="0.3">
      <c r="A4609" t="s">
        <v>3910</v>
      </c>
      <c r="B4609" t="s">
        <v>1</v>
      </c>
    </row>
    <row r="4610" spans="1:2" x14ac:dyDescent="0.3">
      <c r="A4610" t="s">
        <v>3911</v>
      </c>
      <c r="B4610" t="s">
        <v>165</v>
      </c>
    </row>
    <row r="4611" spans="1:2" x14ac:dyDescent="0.3">
      <c r="A4611" t="s">
        <v>3912</v>
      </c>
      <c r="B4611" t="s">
        <v>184</v>
      </c>
    </row>
    <row r="4612" spans="1:2" x14ac:dyDescent="0.3">
      <c r="A4612" t="s">
        <v>3913</v>
      </c>
      <c r="B4612" t="s">
        <v>910</v>
      </c>
    </row>
    <row r="4613" spans="1:2" x14ac:dyDescent="0.3">
      <c r="A4613" t="s">
        <v>3914</v>
      </c>
      <c r="B4613" t="s">
        <v>246</v>
      </c>
    </row>
    <row r="4614" spans="1:2" x14ac:dyDescent="0.3">
      <c r="A4614" t="s">
        <v>3915</v>
      </c>
      <c r="B4614" t="s">
        <v>246</v>
      </c>
    </row>
    <row r="4615" spans="1:2" x14ac:dyDescent="0.3">
      <c r="A4615" t="s">
        <v>3916</v>
      </c>
      <c r="B4615" t="s">
        <v>245</v>
      </c>
    </row>
    <row r="4616" spans="1:2" x14ac:dyDescent="0.3">
      <c r="A4616" t="s">
        <v>3917</v>
      </c>
      <c r="B4616" t="s">
        <v>245</v>
      </c>
    </row>
    <row r="4617" spans="1:2" x14ac:dyDescent="0.3">
      <c r="A4617" t="s">
        <v>3918</v>
      </c>
      <c r="B4617" t="s">
        <v>245</v>
      </c>
    </row>
    <row r="4618" spans="1:2" x14ac:dyDescent="0.3">
      <c r="A4618" t="s">
        <v>3919</v>
      </c>
      <c r="B4618" t="s">
        <v>245</v>
      </c>
    </row>
    <row r="4619" spans="1:2" x14ac:dyDescent="0.3">
      <c r="A4619" t="s">
        <v>3920</v>
      </c>
      <c r="B4619" t="s">
        <v>245</v>
      </c>
    </row>
    <row r="4620" spans="1:2" x14ac:dyDescent="0.3">
      <c r="A4620" t="s">
        <v>3921</v>
      </c>
      <c r="B4620" t="s">
        <v>245</v>
      </c>
    </row>
    <row r="4621" spans="1:2" x14ac:dyDescent="0.3">
      <c r="A4621" t="s">
        <v>3922</v>
      </c>
      <c r="B4621" t="s">
        <v>247</v>
      </c>
    </row>
    <row r="4622" spans="1:2" x14ac:dyDescent="0.3">
      <c r="A4622" t="s">
        <v>3923</v>
      </c>
      <c r="B4622" t="s">
        <v>247</v>
      </c>
    </row>
    <row r="4623" spans="1:2" x14ac:dyDescent="0.3">
      <c r="A4623" t="s">
        <v>3924</v>
      </c>
      <c r="B4623" t="s">
        <v>247</v>
      </c>
    </row>
    <row r="4624" spans="1:2" x14ac:dyDescent="0.3">
      <c r="A4624" t="s">
        <v>3925</v>
      </c>
      <c r="B4624" t="s">
        <v>1138</v>
      </c>
    </row>
    <row r="4625" spans="1:2" x14ac:dyDescent="0.3">
      <c r="A4625" t="s">
        <v>3926</v>
      </c>
      <c r="B4625" t="s">
        <v>1138</v>
      </c>
    </row>
    <row r="4626" spans="1:2" x14ac:dyDescent="0.3">
      <c r="A4626" t="s">
        <v>3927</v>
      </c>
      <c r="B4626" t="s">
        <v>1138</v>
      </c>
    </row>
    <row r="4627" spans="1:2" x14ac:dyDescent="0.3">
      <c r="A4627" t="s">
        <v>3928</v>
      </c>
      <c r="B4627" t="s">
        <v>1138</v>
      </c>
    </row>
    <row r="4628" spans="1:2" x14ac:dyDescent="0.3">
      <c r="A4628" t="s">
        <v>3929</v>
      </c>
      <c r="B4628" t="s">
        <v>249</v>
      </c>
    </row>
    <row r="4629" spans="1:2" x14ac:dyDescent="0.3">
      <c r="A4629" t="s">
        <v>3930</v>
      </c>
      <c r="B4629" t="s">
        <v>249</v>
      </c>
    </row>
    <row r="4630" spans="1:2" x14ac:dyDescent="0.3">
      <c r="A4630" t="s">
        <v>3931</v>
      </c>
      <c r="B4630" t="s">
        <v>249</v>
      </c>
    </row>
    <row r="4631" spans="1:2" x14ac:dyDescent="0.3">
      <c r="A4631" t="s">
        <v>3932</v>
      </c>
      <c r="B4631" t="s">
        <v>249</v>
      </c>
    </row>
    <row r="4632" spans="1:2" x14ac:dyDescent="0.3">
      <c r="A4632" t="s">
        <v>3933</v>
      </c>
      <c r="B4632" t="s">
        <v>164</v>
      </c>
    </row>
    <row r="4633" spans="1:2" x14ac:dyDescent="0.3">
      <c r="A4633" t="s">
        <v>3934</v>
      </c>
      <c r="B4633" t="s">
        <v>164</v>
      </c>
    </row>
    <row r="4634" spans="1:2" x14ac:dyDescent="0.3">
      <c r="A4634" t="s">
        <v>3935</v>
      </c>
      <c r="B4634" t="s">
        <v>1115</v>
      </c>
    </row>
    <row r="4635" spans="1:2" x14ac:dyDescent="0.3">
      <c r="A4635" t="s">
        <v>3936</v>
      </c>
      <c r="B4635" t="s">
        <v>1115</v>
      </c>
    </row>
    <row r="4636" spans="1:2" x14ac:dyDescent="0.3">
      <c r="A4636" t="s">
        <v>3937</v>
      </c>
      <c r="B4636" t="s">
        <v>1115</v>
      </c>
    </row>
    <row r="4637" spans="1:2" x14ac:dyDescent="0.3">
      <c r="A4637" t="s">
        <v>3938</v>
      </c>
      <c r="B4637" t="s">
        <v>1115</v>
      </c>
    </row>
    <row r="4638" spans="1:2" x14ac:dyDescent="0.3">
      <c r="A4638" t="s">
        <v>3939</v>
      </c>
      <c r="B4638" t="s">
        <v>1115</v>
      </c>
    </row>
    <row r="4639" spans="1:2" x14ac:dyDescent="0.3">
      <c r="A4639" t="s">
        <v>3940</v>
      </c>
      <c r="B4639" t="s">
        <v>244</v>
      </c>
    </row>
    <row r="4640" spans="1:2" x14ac:dyDescent="0.3">
      <c r="A4640" t="s">
        <v>3941</v>
      </c>
      <c r="B4640" t="s">
        <v>244</v>
      </c>
    </row>
    <row r="4641" spans="1:2" x14ac:dyDescent="0.3">
      <c r="A4641" t="s">
        <v>3942</v>
      </c>
      <c r="B4641" t="s">
        <v>244</v>
      </c>
    </row>
    <row r="4642" spans="1:2" x14ac:dyDescent="0.3">
      <c r="A4642" t="s">
        <v>3943</v>
      </c>
      <c r="B4642" t="s">
        <v>244</v>
      </c>
    </row>
    <row r="4643" spans="1:2" x14ac:dyDescent="0.3">
      <c r="A4643" t="s">
        <v>3944</v>
      </c>
      <c r="B4643" t="s">
        <v>244</v>
      </c>
    </row>
    <row r="4644" spans="1:2" x14ac:dyDescent="0.3">
      <c r="A4644" t="s">
        <v>3945</v>
      </c>
      <c r="B4644" t="s">
        <v>244</v>
      </c>
    </row>
    <row r="4645" spans="1:2" x14ac:dyDescent="0.3">
      <c r="A4645" t="s">
        <v>3946</v>
      </c>
      <c r="B4645" t="s">
        <v>244</v>
      </c>
    </row>
    <row r="4646" spans="1:2" x14ac:dyDescent="0.3">
      <c r="A4646" t="s">
        <v>3947</v>
      </c>
      <c r="B4646" t="s">
        <v>244</v>
      </c>
    </row>
    <row r="4647" spans="1:2" x14ac:dyDescent="0.3">
      <c r="A4647" t="s">
        <v>3948</v>
      </c>
      <c r="B4647" t="s">
        <v>244</v>
      </c>
    </row>
    <row r="4648" spans="1:2" x14ac:dyDescent="0.3">
      <c r="A4648" t="s">
        <v>3949</v>
      </c>
      <c r="B4648" t="s">
        <v>1097</v>
      </c>
    </row>
    <row r="4649" spans="1:2" x14ac:dyDescent="0.3">
      <c r="A4649" t="s">
        <v>3950</v>
      </c>
      <c r="B4649" t="s">
        <v>1097</v>
      </c>
    </row>
    <row r="4650" spans="1:2" x14ac:dyDescent="0.3">
      <c r="A4650" t="s">
        <v>3951</v>
      </c>
      <c r="B4650" t="s">
        <v>261</v>
      </c>
    </row>
    <row r="4651" spans="1:2" x14ac:dyDescent="0.3">
      <c r="A4651" t="s">
        <v>3952</v>
      </c>
      <c r="B4651" t="s">
        <v>675</v>
      </c>
    </row>
    <row r="4652" spans="1:2" x14ac:dyDescent="0.3">
      <c r="A4652" t="s">
        <v>3953</v>
      </c>
      <c r="B4652" t="s">
        <v>261</v>
      </c>
    </row>
    <row r="4653" spans="1:2" x14ac:dyDescent="0.3">
      <c r="A4653" t="s">
        <v>3954</v>
      </c>
      <c r="B4653" t="s">
        <v>675</v>
      </c>
    </row>
    <row r="4654" spans="1:2" x14ac:dyDescent="0.3">
      <c r="A4654" t="s">
        <v>3955</v>
      </c>
      <c r="B4654" t="s">
        <v>675</v>
      </c>
    </row>
    <row r="4655" spans="1:2" x14ac:dyDescent="0.3">
      <c r="A4655" t="s">
        <v>3956</v>
      </c>
      <c r="B4655" t="s">
        <v>292</v>
      </c>
    </row>
    <row r="4656" spans="1:2" x14ac:dyDescent="0.3">
      <c r="A4656" t="s">
        <v>3957</v>
      </c>
      <c r="B4656" t="s">
        <v>292</v>
      </c>
    </row>
    <row r="4657" spans="1:2" x14ac:dyDescent="0.3">
      <c r="A4657" t="s">
        <v>3958</v>
      </c>
      <c r="B4657" t="s">
        <v>292</v>
      </c>
    </row>
    <row r="4658" spans="1:2" x14ac:dyDescent="0.3">
      <c r="A4658" t="s">
        <v>3959</v>
      </c>
      <c r="B4658" t="s">
        <v>1060</v>
      </c>
    </row>
    <row r="4659" spans="1:2" x14ac:dyDescent="0.3">
      <c r="A4659" t="s">
        <v>249</v>
      </c>
      <c r="B4659" t="s">
        <v>1059</v>
      </c>
    </row>
    <row r="4660" spans="1:2" x14ac:dyDescent="0.3">
      <c r="A4660" t="s">
        <v>3960</v>
      </c>
      <c r="B4660" t="s">
        <v>1059</v>
      </c>
    </row>
    <row r="4661" spans="1:2" x14ac:dyDescent="0.3">
      <c r="A4661" t="s">
        <v>3961</v>
      </c>
      <c r="B4661" t="s">
        <v>1059</v>
      </c>
    </row>
    <row r="4662" spans="1:2" x14ac:dyDescent="0.3">
      <c r="A4662" t="s">
        <v>3962</v>
      </c>
      <c r="B4662" t="s">
        <v>181</v>
      </c>
    </row>
    <row r="4663" spans="1:2" x14ac:dyDescent="0.3">
      <c r="A4663" t="s">
        <v>3963</v>
      </c>
      <c r="B4663" t="s">
        <v>2292</v>
      </c>
    </row>
    <row r="4664" spans="1:2" x14ac:dyDescent="0.3">
      <c r="A4664" t="s">
        <v>3964</v>
      </c>
      <c r="B4664" t="s">
        <v>181</v>
      </c>
    </row>
    <row r="4665" spans="1:2" x14ac:dyDescent="0.3">
      <c r="A4665" t="s">
        <v>3965</v>
      </c>
      <c r="B4665" t="s">
        <v>97</v>
      </c>
    </row>
    <row r="4666" spans="1:2" x14ac:dyDescent="0.3">
      <c r="A4666" t="s">
        <v>3966</v>
      </c>
      <c r="B4666" t="s">
        <v>97</v>
      </c>
    </row>
    <row r="4667" spans="1:2" x14ac:dyDescent="0.3">
      <c r="A4667" t="s">
        <v>3967</v>
      </c>
      <c r="B4667" t="s">
        <v>97</v>
      </c>
    </row>
    <row r="4668" spans="1:2" x14ac:dyDescent="0.3">
      <c r="A4668" t="s">
        <v>3968</v>
      </c>
      <c r="B4668" t="s">
        <v>979</v>
      </c>
    </row>
    <row r="4669" spans="1:2" x14ac:dyDescent="0.3">
      <c r="A4669" t="s">
        <v>3969</v>
      </c>
      <c r="B4669" t="s">
        <v>896</v>
      </c>
    </row>
    <row r="4670" spans="1:2" x14ac:dyDescent="0.3">
      <c r="A4670" t="s">
        <v>3970</v>
      </c>
      <c r="B4670" t="s">
        <v>896</v>
      </c>
    </row>
    <row r="4671" spans="1:2" x14ac:dyDescent="0.3">
      <c r="A4671" t="s">
        <v>3971</v>
      </c>
      <c r="B4671" t="s">
        <v>896</v>
      </c>
    </row>
    <row r="4672" spans="1:2" x14ac:dyDescent="0.3">
      <c r="A4672" t="s">
        <v>3972</v>
      </c>
      <c r="B4672" t="s">
        <v>896</v>
      </c>
    </row>
    <row r="4673" spans="1:2" x14ac:dyDescent="0.3">
      <c r="A4673" t="s">
        <v>3973</v>
      </c>
      <c r="B4673" t="s">
        <v>896</v>
      </c>
    </row>
    <row r="4674" spans="1:2" x14ac:dyDescent="0.3">
      <c r="A4674" t="s">
        <v>3974</v>
      </c>
      <c r="B4674" t="s">
        <v>896</v>
      </c>
    </row>
    <row r="4675" spans="1:2" x14ac:dyDescent="0.3">
      <c r="A4675" t="s">
        <v>3975</v>
      </c>
      <c r="B4675" t="s">
        <v>896</v>
      </c>
    </row>
    <row r="4676" spans="1:2" x14ac:dyDescent="0.3">
      <c r="A4676" t="s">
        <v>3976</v>
      </c>
      <c r="B4676" t="s">
        <v>896</v>
      </c>
    </row>
    <row r="4677" spans="1:2" x14ac:dyDescent="0.3">
      <c r="A4677" t="s">
        <v>3977</v>
      </c>
      <c r="B4677" t="s">
        <v>896</v>
      </c>
    </row>
    <row r="4678" spans="1:2" x14ac:dyDescent="0.3">
      <c r="A4678" t="s">
        <v>3978</v>
      </c>
      <c r="B4678" t="s">
        <v>3338</v>
      </c>
    </row>
    <row r="4679" spans="1:2" x14ac:dyDescent="0.3">
      <c r="A4679" t="s">
        <v>3979</v>
      </c>
      <c r="B4679" t="s">
        <v>3338</v>
      </c>
    </row>
    <row r="4680" spans="1:2" x14ac:dyDescent="0.3">
      <c r="A4680" t="s">
        <v>3980</v>
      </c>
      <c r="B4680" t="s">
        <v>3338</v>
      </c>
    </row>
    <row r="4681" spans="1:2" x14ac:dyDescent="0.3">
      <c r="A4681" t="s">
        <v>3981</v>
      </c>
      <c r="B4681" t="s">
        <v>3338</v>
      </c>
    </row>
    <row r="4682" spans="1:2" x14ac:dyDescent="0.3">
      <c r="A4682" t="s">
        <v>3982</v>
      </c>
      <c r="B4682" t="s">
        <v>3338</v>
      </c>
    </row>
    <row r="4683" spans="1:2" x14ac:dyDescent="0.3">
      <c r="A4683" t="s">
        <v>3983</v>
      </c>
      <c r="B4683" t="s">
        <v>282</v>
      </c>
    </row>
    <row r="4684" spans="1:2" x14ac:dyDescent="0.3">
      <c r="A4684" t="s">
        <v>3984</v>
      </c>
      <c r="B4684" t="s">
        <v>1005</v>
      </c>
    </row>
    <row r="4685" spans="1:2" x14ac:dyDescent="0.3">
      <c r="A4685" t="s">
        <v>3985</v>
      </c>
      <c r="B4685" t="s">
        <v>2</v>
      </c>
    </row>
    <row r="4686" spans="1:2" x14ac:dyDescent="0.3">
      <c r="A4686" t="s">
        <v>3986</v>
      </c>
      <c r="B4686" t="s">
        <v>992</v>
      </c>
    </row>
    <row r="4687" spans="1:2" x14ac:dyDescent="0.3">
      <c r="A4687" t="s">
        <v>3987</v>
      </c>
      <c r="B4687" t="s">
        <v>979</v>
      </c>
    </row>
    <row r="4688" spans="1:2" x14ac:dyDescent="0.3">
      <c r="A4688" t="s">
        <v>3988</v>
      </c>
      <c r="B4688" t="s">
        <v>979</v>
      </c>
    </row>
    <row r="4689" spans="1:2" x14ac:dyDescent="0.3">
      <c r="A4689" t="s">
        <v>3989</v>
      </c>
      <c r="B4689" t="s">
        <v>979</v>
      </c>
    </row>
    <row r="4690" spans="1:2" x14ac:dyDescent="0.3">
      <c r="A4690" t="s">
        <v>3990</v>
      </c>
      <c r="B4690" t="s">
        <v>961</v>
      </c>
    </row>
    <row r="4691" spans="1:2" x14ac:dyDescent="0.3">
      <c r="A4691" t="s">
        <v>3991</v>
      </c>
      <c r="B4691" t="s">
        <v>961</v>
      </c>
    </row>
    <row r="4692" spans="1:2" x14ac:dyDescent="0.3">
      <c r="A4692" t="s">
        <v>3992</v>
      </c>
      <c r="B4692" t="s">
        <v>961</v>
      </c>
    </row>
    <row r="4693" spans="1:2" x14ac:dyDescent="0.3">
      <c r="A4693" t="s">
        <v>3993</v>
      </c>
      <c r="B4693" t="s">
        <v>961</v>
      </c>
    </row>
    <row r="4694" spans="1:2" x14ac:dyDescent="0.3">
      <c r="A4694" t="s">
        <v>3994</v>
      </c>
      <c r="B4694" t="s">
        <v>935</v>
      </c>
    </row>
    <row r="4695" spans="1:2" x14ac:dyDescent="0.3">
      <c r="A4695" t="s">
        <v>3995</v>
      </c>
      <c r="B4695" t="s">
        <v>935</v>
      </c>
    </row>
    <row r="4696" spans="1:2" x14ac:dyDescent="0.3">
      <c r="A4696" t="s">
        <v>3996</v>
      </c>
      <c r="B4696" t="s">
        <v>935</v>
      </c>
    </row>
    <row r="4697" spans="1:2" x14ac:dyDescent="0.3">
      <c r="A4697" t="s">
        <v>3997</v>
      </c>
      <c r="B4697" t="s">
        <v>935</v>
      </c>
    </row>
    <row r="4698" spans="1:2" x14ac:dyDescent="0.3">
      <c r="A4698" t="s">
        <v>3998</v>
      </c>
      <c r="B4698" t="s">
        <v>935</v>
      </c>
    </row>
    <row r="4699" spans="1:2" x14ac:dyDescent="0.3">
      <c r="A4699" t="s">
        <v>3999</v>
      </c>
      <c r="B4699" t="s">
        <v>935</v>
      </c>
    </row>
    <row r="4700" spans="1:2" x14ac:dyDescent="0.3">
      <c r="A4700" t="s">
        <v>4000</v>
      </c>
      <c r="B4700" t="s">
        <v>935</v>
      </c>
    </row>
    <row r="4701" spans="1:2" x14ac:dyDescent="0.3">
      <c r="A4701" t="s">
        <v>4001</v>
      </c>
      <c r="B4701" t="s">
        <v>935</v>
      </c>
    </row>
    <row r="4702" spans="1:2" x14ac:dyDescent="0.3">
      <c r="A4702" t="s">
        <v>4002</v>
      </c>
      <c r="B4702" t="s">
        <v>935</v>
      </c>
    </row>
    <row r="4703" spans="1:2" x14ac:dyDescent="0.3">
      <c r="A4703" t="s">
        <v>4003</v>
      </c>
      <c r="B4703" t="s">
        <v>935</v>
      </c>
    </row>
    <row r="4704" spans="1:2" x14ac:dyDescent="0.3">
      <c r="A4704" t="s">
        <v>4004</v>
      </c>
      <c r="B4704" t="s">
        <v>935</v>
      </c>
    </row>
    <row r="4705" spans="1:2" x14ac:dyDescent="0.3">
      <c r="A4705" t="s">
        <v>4005</v>
      </c>
      <c r="B4705" t="s">
        <v>935</v>
      </c>
    </row>
    <row r="4706" spans="1:2" x14ac:dyDescent="0.3">
      <c r="A4706" t="s">
        <v>4006</v>
      </c>
      <c r="B4706" t="s">
        <v>935</v>
      </c>
    </row>
    <row r="4707" spans="1:2" x14ac:dyDescent="0.3">
      <c r="A4707" t="s">
        <v>4007</v>
      </c>
      <c r="B4707" t="s">
        <v>935</v>
      </c>
    </row>
    <row r="4708" spans="1:2" x14ac:dyDescent="0.3">
      <c r="A4708" t="s">
        <v>4008</v>
      </c>
      <c r="B4708" t="s">
        <v>935</v>
      </c>
    </row>
    <row r="4709" spans="1:2" x14ac:dyDescent="0.3">
      <c r="A4709" t="s">
        <v>4009</v>
      </c>
      <c r="B4709" t="s">
        <v>927</v>
      </c>
    </row>
    <row r="4710" spans="1:2" x14ac:dyDescent="0.3">
      <c r="A4710" t="s">
        <v>4010</v>
      </c>
      <c r="B4710" t="s">
        <v>921</v>
      </c>
    </row>
    <row r="4711" spans="1:2" x14ac:dyDescent="0.3">
      <c r="A4711" t="s">
        <v>4011</v>
      </c>
      <c r="B4711" t="s">
        <v>921</v>
      </c>
    </row>
    <row r="4712" spans="1:2" x14ac:dyDescent="0.3">
      <c r="A4712" t="s">
        <v>4012</v>
      </c>
      <c r="B4712" t="s">
        <v>197</v>
      </c>
    </row>
    <row r="4713" spans="1:2" x14ac:dyDescent="0.3">
      <c r="A4713" t="s">
        <v>4013</v>
      </c>
      <c r="B4713" t="s">
        <v>888</v>
      </c>
    </row>
    <row r="4714" spans="1:2" x14ac:dyDescent="0.3">
      <c r="A4714" t="s">
        <v>4014</v>
      </c>
      <c r="B4714" t="s">
        <v>888</v>
      </c>
    </row>
    <row r="4715" spans="1:2" x14ac:dyDescent="0.3">
      <c r="A4715" t="s">
        <v>4015</v>
      </c>
      <c r="B4715" t="s">
        <v>888</v>
      </c>
    </row>
    <row r="4716" spans="1:2" x14ac:dyDescent="0.3">
      <c r="A4716" t="s">
        <v>4016</v>
      </c>
      <c r="B4716" t="s">
        <v>888</v>
      </c>
    </row>
    <row r="4717" spans="1:2" x14ac:dyDescent="0.3">
      <c r="A4717" t="s">
        <v>4017</v>
      </c>
      <c r="B4717" t="s">
        <v>170</v>
      </c>
    </row>
    <row r="4718" spans="1:2" x14ac:dyDescent="0.3">
      <c r="A4718" t="s">
        <v>4018</v>
      </c>
      <c r="B4718" t="s">
        <v>170</v>
      </c>
    </row>
    <row r="4719" spans="1:2" x14ac:dyDescent="0.3">
      <c r="A4719" t="s">
        <v>4019</v>
      </c>
      <c r="B4719" t="s">
        <v>170</v>
      </c>
    </row>
    <row r="4720" spans="1:2" x14ac:dyDescent="0.3">
      <c r="A4720" t="s">
        <v>4020</v>
      </c>
      <c r="B4720" t="s">
        <v>170</v>
      </c>
    </row>
    <row r="4721" spans="1:2" x14ac:dyDescent="0.3">
      <c r="A4721" t="s">
        <v>4021</v>
      </c>
      <c r="B4721" t="s">
        <v>1283</v>
      </c>
    </row>
    <row r="4722" spans="1:2" x14ac:dyDescent="0.3">
      <c r="A4722" t="s">
        <v>4022</v>
      </c>
      <c r="B4722" t="s">
        <v>244</v>
      </c>
    </row>
    <row r="4723" spans="1:2" x14ac:dyDescent="0.3">
      <c r="A4723" t="s">
        <v>4023</v>
      </c>
      <c r="B4723" t="s">
        <v>244</v>
      </c>
    </row>
    <row r="4724" spans="1:2" x14ac:dyDescent="0.3">
      <c r="A4724" t="s">
        <v>4024</v>
      </c>
      <c r="B4724" t="s">
        <v>801</v>
      </c>
    </row>
    <row r="4725" spans="1:2" x14ac:dyDescent="0.3">
      <c r="A4725" t="s">
        <v>4025</v>
      </c>
      <c r="B4725" t="s">
        <v>801</v>
      </c>
    </row>
    <row r="4726" spans="1:2" x14ac:dyDescent="0.3">
      <c r="A4726" t="s">
        <v>4026</v>
      </c>
      <c r="B4726" t="s">
        <v>801</v>
      </c>
    </row>
    <row r="4727" spans="1:2" x14ac:dyDescent="0.3">
      <c r="A4727" t="s">
        <v>4027</v>
      </c>
      <c r="B4727" t="s">
        <v>801</v>
      </c>
    </row>
    <row r="4728" spans="1:2" x14ac:dyDescent="0.3">
      <c r="A4728" t="s">
        <v>4028</v>
      </c>
      <c r="B4728" t="s">
        <v>801</v>
      </c>
    </row>
    <row r="4729" spans="1:2" x14ac:dyDescent="0.3">
      <c r="A4729" t="s">
        <v>4029</v>
      </c>
      <c r="B4729" t="s">
        <v>801</v>
      </c>
    </row>
    <row r="4730" spans="1:2" x14ac:dyDescent="0.3">
      <c r="A4730" t="s">
        <v>4030</v>
      </c>
      <c r="B4730" t="s">
        <v>801</v>
      </c>
    </row>
    <row r="4731" spans="1:2" x14ac:dyDescent="0.3">
      <c r="A4731" t="s">
        <v>4031</v>
      </c>
      <c r="B4731" t="s">
        <v>179</v>
      </c>
    </row>
    <row r="4732" spans="1:2" x14ac:dyDescent="0.3">
      <c r="A4732" t="s">
        <v>4032</v>
      </c>
      <c r="B4732" t="s">
        <v>179</v>
      </c>
    </row>
    <row r="4733" spans="1:2" x14ac:dyDescent="0.3">
      <c r="A4733" t="s">
        <v>4033</v>
      </c>
      <c r="B4733" t="s">
        <v>759</v>
      </c>
    </row>
    <row r="4734" spans="1:2" x14ac:dyDescent="0.3">
      <c r="A4734" t="s">
        <v>4034</v>
      </c>
      <c r="B4734" t="s">
        <v>759</v>
      </c>
    </row>
    <row r="4735" spans="1:2" x14ac:dyDescent="0.3">
      <c r="A4735" t="s">
        <v>4035</v>
      </c>
      <c r="B4735" t="s">
        <v>759</v>
      </c>
    </row>
    <row r="4736" spans="1:2" x14ac:dyDescent="0.3">
      <c r="A4736" t="s">
        <v>4036</v>
      </c>
      <c r="B4736" t="s">
        <v>759</v>
      </c>
    </row>
    <row r="4737" spans="1:2" x14ac:dyDescent="0.3">
      <c r="A4737" t="s">
        <v>4037</v>
      </c>
      <c r="B4737" t="s">
        <v>759</v>
      </c>
    </row>
    <row r="4738" spans="1:2" x14ac:dyDescent="0.3">
      <c r="A4738" t="s">
        <v>187</v>
      </c>
      <c r="B4738" t="s">
        <v>759</v>
      </c>
    </row>
    <row r="4739" spans="1:2" x14ac:dyDescent="0.3">
      <c r="A4739" t="s">
        <v>4038</v>
      </c>
      <c r="B4739" t="s">
        <v>759</v>
      </c>
    </row>
    <row r="4740" spans="1:2" x14ac:dyDescent="0.3">
      <c r="A4740" t="s">
        <v>4039</v>
      </c>
      <c r="B4740" t="s">
        <v>759</v>
      </c>
    </row>
    <row r="4741" spans="1:2" x14ac:dyDescent="0.3">
      <c r="A4741" t="s">
        <v>4040</v>
      </c>
      <c r="B4741" t="s">
        <v>759</v>
      </c>
    </row>
    <row r="4742" spans="1:2" x14ac:dyDescent="0.3">
      <c r="A4742" t="s">
        <v>4041</v>
      </c>
      <c r="B4742" t="s">
        <v>759</v>
      </c>
    </row>
    <row r="4743" spans="1:2" x14ac:dyDescent="0.3">
      <c r="A4743" t="s">
        <v>4042</v>
      </c>
      <c r="B4743" t="s">
        <v>759</v>
      </c>
    </row>
    <row r="4744" spans="1:2" x14ac:dyDescent="0.3">
      <c r="A4744" t="s">
        <v>4043</v>
      </c>
      <c r="B4744" t="s">
        <v>163</v>
      </c>
    </row>
    <row r="4745" spans="1:2" x14ac:dyDescent="0.3">
      <c r="B4745" t="s">
        <v>216</v>
      </c>
    </row>
    <row r="4746" spans="1:2" x14ac:dyDescent="0.3">
      <c r="A4746" t="s">
        <v>4044</v>
      </c>
      <c r="B4746" t="s">
        <v>216</v>
      </c>
    </row>
    <row r="4747" spans="1:2" x14ac:dyDescent="0.3">
      <c r="B4747" t="s">
        <v>263</v>
      </c>
    </row>
    <row r="4748" spans="1:2" x14ac:dyDescent="0.3">
      <c r="A4748" t="s">
        <v>4045</v>
      </c>
      <c r="B4748" t="s">
        <v>97</v>
      </c>
    </row>
    <row r="4749" spans="1:2" x14ac:dyDescent="0.3">
      <c r="A4749" t="s">
        <v>4046</v>
      </c>
      <c r="B4749" t="s">
        <v>97</v>
      </c>
    </row>
    <row r="4750" spans="1:2" x14ac:dyDescent="0.3">
      <c r="A4750" t="s">
        <v>4047</v>
      </c>
      <c r="B4750" t="s">
        <v>97</v>
      </c>
    </row>
    <row r="4751" spans="1:2" x14ac:dyDescent="0.3">
      <c r="A4751" t="s">
        <v>4048</v>
      </c>
      <c r="B4751" t="s">
        <v>97</v>
      </c>
    </row>
    <row r="4752" spans="1:2" x14ac:dyDescent="0.3">
      <c r="A4752" t="s">
        <v>4049</v>
      </c>
      <c r="B4752" t="s">
        <v>97</v>
      </c>
    </row>
    <row r="4753" spans="1:2" x14ac:dyDescent="0.3">
      <c r="A4753" t="s">
        <v>4050</v>
      </c>
      <c r="B4753" t="s">
        <v>97</v>
      </c>
    </row>
    <row r="4754" spans="1:2" x14ac:dyDescent="0.3">
      <c r="A4754" t="s">
        <v>4051</v>
      </c>
      <c r="B4754" t="s">
        <v>97</v>
      </c>
    </row>
    <row r="4755" spans="1:2" x14ac:dyDescent="0.3">
      <c r="A4755" t="s">
        <v>4052</v>
      </c>
      <c r="B4755" t="s">
        <v>97</v>
      </c>
    </row>
    <row r="4756" spans="1:2" x14ac:dyDescent="0.3">
      <c r="A4756" t="s">
        <v>4053</v>
      </c>
      <c r="B4756" t="s">
        <v>97</v>
      </c>
    </row>
    <row r="4757" spans="1:2" x14ac:dyDescent="0.3">
      <c r="A4757" t="s">
        <v>4054</v>
      </c>
      <c r="B4757" t="s">
        <v>97</v>
      </c>
    </row>
    <row r="4758" spans="1:2" x14ac:dyDescent="0.3">
      <c r="A4758" t="s">
        <v>4055</v>
      </c>
      <c r="B4758" t="s">
        <v>97</v>
      </c>
    </row>
    <row r="4759" spans="1:2" x14ac:dyDescent="0.3">
      <c r="A4759" t="s">
        <v>4056</v>
      </c>
      <c r="B4759" t="s">
        <v>97</v>
      </c>
    </row>
    <row r="4760" spans="1:2" x14ac:dyDescent="0.3">
      <c r="A4760" t="s">
        <v>4057</v>
      </c>
      <c r="B4760" t="s">
        <v>97</v>
      </c>
    </row>
    <row r="4761" spans="1:2" x14ac:dyDescent="0.3">
      <c r="A4761" t="s">
        <v>4058</v>
      </c>
      <c r="B4761" t="s">
        <v>97</v>
      </c>
    </row>
    <row r="4762" spans="1:2" x14ac:dyDescent="0.3">
      <c r="A4762" t="s">
        <v>4059</v>
      </c>
      <c r="B4762" t="s">
        <v>97</v>
      </c>
    </row>
    <row r="4763" spans="1:2" x14ac:dyDescent="0.3">
      <c r="A4763" t="s">
        <v>4060</v>
      </c>
      <c r="B4763" t="s">
        <v>251</v>
      </c>
    </row>
    <row r="4764" spans="1:2" x14ac:dyDescent="0.3">
      <c r="A4764" t="s">
        <v>4061</v>
      </c>
      <c r="B4764" t="s">
        <v>72</v>
      </c>
    </row>
    <row r="4765" spans="1:2" x14ac:dyDescent="0.3">
      <c r="A4765" t="s">
        <v>4062</v>
      </c>
      <c r="B4765" t="s">
        <v>72</v>
      </c>
    </row>
    <row r="4766" spans="1:2" x14ac:dyDescent="0.3">
      <c r="A4766" t="s">
        <v>4063</v>
      </c>
      <c r="B4766" t="s">
        <v>72</v>
      </c>
    </row>
    <row r="4767" spans="1:2" x14ac:dyDescent="0.3">
      <c r="A4767" t="s">
        <v>4064</v>
      </c>
      <c r="B4767" t="s">
        <v>185</v>
      </c>
    </row>
    <row r="4768" spans="1:2" x14ac:dyDescent="0.3">
      <c r="A4768" t="s">
        <v>4065</v>
      </c>
      <c r="B4768" t="s">
        <v>484</v>
      </c>
    </row>
    <row r="4769" spans="1:2" x14ac:dyDescent="0.3">
      <c r="A4769" t="s">
        <v>4066</v>
      </c>
      <c r="B4769" t="s">
        <v>484</v>
      </c>
    </row>
    <row r="4770" spans="1:2" x14ac:dyDescent="0.3">
      <c r="A4770" t="s">
        <v>4067</v>
      </c>
      <c r="B4770" t="s">
        <v>484</v>
      </c>
    </row>
    <row r="4771" spans="1:2" x14ac:dyDescent="0.3">
      <c r="A4771" t="s">
        <v>4068</v>
      </c>
      <c r="B4771" t="s">
        <v>484</v>
      </c>
    </row>
    <row r="4772" spans="1:2" x14ac:dyDescent="0.3">
      <c r="A4772" t="s">
        <v>4069</v>
      </c>
      <c r="B4772" t="s">
        <v>172</v>
      </c>
    </row>
    <row r="4773" spans="1:2" x14ac:dyDescent="0.3">
      <c r="A4773" t="s">
        <v>4070</v>
      </c>
      <c r="B4773" t="s">
        <v>172</v>
      </c>
    </row>
    <row r="4774" spans="1:2" x14ac:dyDescent="0.3">
      <c r="A4774" t="s">
        <v>4071</v>
      </c>
      <c r="B4774" t="s">
        <v>172</v>
      </c>
    </row>
    <row r="4775" spans="1:2" x14ac:dyDescent="0.3">
      <c r="A4775" t="s">
        <v>4072</v>
      </c>
      <c r="B4775" t="s">
        <v>172</v>
      </c>
    </row>
    <row r="4776" spans="1:2" x14ac:dyDescent="0.3">
      <c r="A4776" t="s">
        <v>4073</v>
      </c>
      <c r="B4776" t="s">
        <v>172</v>
      </c>
    </row>
    <row r="4777" spans="1:2" x14ac:dyDescent="0.3">
      <c r="A4777" t="s">
        <v>4074</v>
      </c>
      <c r="B4777" t="s">
        <v>172</v>
      </c>
    </row>
    <row r="4778" spans="1:2" x14ac:dyDescent="0.3">
      <c r="A4778" t="s">
        <v>4075</v>
      </c>
      <c r="B4778" t="s">
        <v>172</v>
      </c>
    </row>
    <row r="4779" spans="1:2" x14ac:dyDescent="0.3">
      <c r="A4779" t="s">
        <v>4076</v>
      </c>
      <c r="B4779" t="s">
        <v>172</v>
      </c>
    </row>
    <row r="4780" spans="1:2" x14ac:dyDescent="0.3">
      <c r="A4780" t="s">
        <v>4077</v>
      </c>
      <c r="B4780" t="s">
        <v>172</v>
      </c>
    </row>
    <row r="4781" spans="1:2" x14ac:dyDescent="0.3">
      <c r="A4781" t="s">
        <v>4078</v>
      </c>
      <c r="B4781" t="s">
        <v>172</v>
      </c>
    </row>
    <row r="4782" spans="1:2" x14ac:dyDescent="0.3">
      <c r="A4782" t="s">
        <v>4079</v>
      </c>
      <c r="B4782" t="s">
        <v>172</v>
      </c>
    </row>
    <row r="4783" spans="1:2" x14ac:dyDescent="0.3">
      <c r="A4783" t="s">
        <v>4080</v>
      </c>
      <c r="B4783" t="s">
        <v>172</v>
      </c>
    </row>
    <row r="4784" spans="1:2" x14ac:dyDescent="0.3">
      <c r="A4784" t="s">
        <v>4081</v>
      </c>
      <c r="B4784" t="s">
        <v>172</v>
      </c>
    </row>
    <row r="4785" spans="1:2" x14ac:dyDescent="0.3">
      <c r="A4785" t="s">
        <v>4082</v>
      </c>
      <c r="B4785" t="s">
        <v>172</v>
      </c>
    </row>
    <row r="4786" spans="1:2" x14ac:dyDescent="0.3">
      <c r="A4786" t="s">
        <v>4083</v>
      </c>
      <c r="B4786" t="s">
        <v>172</v>
      </c>
    </row>
    <row r="4787" spans="1:2" x14ac:dyDescent="0.3">
      <c r="A4787" t="s">
        <v>4084</v>
      </c>
      <c r="B4787" t="s">
        <v>172</v>
      </c>
    </row>
    <row r="4788" spans="1:2" x14ac:dyDescent="0.3">
      <c r="A4788" t="s">
        <v>4085</v>
      </c>
      <c r="B4788" t="s">
        <v>172</v>
      </c>
    </row>
    <row r="4789" spans="1:2" x14ac:dyDescent="0.3">
      <c r="A4789" t="s">
        <v>4086</v>
      </c>
      <c r="B4789" t="s">
        <v>172</v>
      </c>
    </row>
    <row r="4790" spans="1:2" x14ac:dyDescent="0.3">
      <c r="A4790" t="s">
        <v>4087</v>
      </c>
      <c r="B4790" t="s">
        <v>172</v>
      </c>
    </row>
    <row r="4791" spans="1:2" x14ac:dyDescent="0.3">
      <c r="A4791" t="s">
        <v>4088</v>
      </c>
      <c r="B4791" t="s">
        <v>172</v>
      </c>
    </row>
    <row r="4792" spans="1:2" x14ac:dyDescent="0.3">
      <c r="A4792" t="s">
        <v>4089</v>
      </c>
      <c r="B4792" t="s">
        <v>172</v>
      </c>
    </row>
    <row r="4793" spans="1:2" x14ac:dyDescent="0.3">
      <c r="A4793" t="s">
        <v>4090</v>
      </c>
      <c r="B4793" t="s">
        <v>172</v>
      </c>
    </row>
    <row r="4794" spans="1:2" x14ac:dyDescent="0.3">
      <c r="A4794" t="s">
        <v>4091</v>
      </c>
      <c r="B4794" t="s">
        <v>172</v>
      </c>
    </row>
    <row r="4795" spans="1:2" x14ac:dyDescent="0.3">
      <c r="A4795" t="s">
        <v>4092</v>
      </c>
      <c r="B4795" t="s">
        <v>172</v>
      </c>
    </row>
    <row r="4796" spans="1:2" x14ac:dyDescent="0.3">
      <c r="A4796" t="s">
        <v>4093</v>
      </c>
      <c r="B4796" t="s">
        <v>172</v>
      </c>
    </row>
    <row r="4797" spans="1:2" x14ac:dyDescent="0.3">
      <c r="A4797" t="s">
        <v>4094</v>
      </c>
      <c r="B4797" t="s">
        <v>172</v>
      </c>
    </row>
    <row r="4798" spans="1:2" x14ac:dyDescent="0.3">
      <c r="A4798" t="s">
        <v>4095</v>
      </c>
      <c r="B4798" t="s">
        <v>172</v>
      </c>
    </row>
    <row r="4799" spans="1:2" x14ac:dyDescent="0.3">
      <c r="A4799" t="s">
        <v>4096</v>
      </c>
      <c r="B4799" t="s">
        <v>172</v>
      </c>
    </row>
    <row r="4800" spans="1:2" x14ac:dyDescent="0.3">
      <c r="A4800" t="s">
        <v>4097</v>
      </c>
      <c r="B4800" t="s">
        <v>172</v>
      </c>
    </row>
    <row r="4801" spans="1:2" x14ac:dyDescent="0.3">
      <c r="A4801" t="s">
        <v>4098</v>
      </c>
      <c r="B4801" t="s">
        <v>172</v>
      </c>
    </row>
    <row r="4802" spans="1:2" x14ac:dyDescent="0.3">
      <c r="A4802" t="s">
        <v>4099</v>
      </c>
      <c r="B4802" t="s">
        <v>172</v>
      </c>
    </row>
    <row r="4803" spans="1:2" x14ac:dyDescent="0.3">
      <c r="A4803" t="s">
        <v>4100</v>
      </c>
      <c r="B4803" t="s">
        <v>172</v>
      </c>
    </row>
    <row r="4804" spans="1:2" x14ac:dyDescent="0.3">
      <c r="A4804" t="s">
        <v>4101</v>
      </c>
      <c r="B4804" t="s">
        <v>172</v>
      </c>
    </row>
    <row r="4805" spans="1:2" x14ac:dyDescent="0.3">
      <c r="A4805" t="s">
        <v>4102</v>
      </c>
      <c r="B4805" t="s">
        <v>172</v>
      </c>
    </row>
    <row r="4806" spans="1:2" x14ac:dyDescent="0.3">
      <c r="A4806" t="s">
        <v>4103</v>
      </c>
      <c r="B4806" t="s">
        <v>172</v>
      </c>
    </row>
    <row r="4807" spans="1:2" x14ac:dyDescent="0.3">
      <c r="A4807" t="s">
        <v>4104</v>
      </c>
      <c r="B4807" t="s">
        <v>172</v>
      </c>
    </row>
    <row r="4808" spans="1:2" x14ac:dyDescent="0.3">
      <c r="A4808" t="s">
        <v>4105</v>
      </c>
      <c r="B4808" t="s">
        <v>172</v>
      </c>
    </row>
    <row r="4809" spans="1:2" x14ac:dyDescent="0.3">
      <c r="A4809" t="s">
        <v>4106</v>
      </c>
      <c r="B4809" t="s">
        <v>172</v>
      </c>
    </row>
    <row r="4810" spans="1:2" x14ac:dyDescent="0.3">
      <c r="A4810" t="s">
        <v>4107</v>
      </c>
      <c r="B4810" t="s">
        <v>172</v>
      </c>
    </row>
    <row r="4811" spans="1:2" x14ac:dyDescent="0.3">
      <c r="A4811" t="s">
        <v>4108</v>
      </c>
      <c r="B4811" t="s">
        <v>172</v>
      </c>
    </row>
    <row r="4812" spans="1:2" x14ac:dyDescent="0.3">
      <c r="A4812" t="s">
        <v>4109</v>
      </c>
      <c r="B4812" t="s">
        <v>172</v>
      </c>
    </row>
    <row r="4813" spans="1:2" x14ac:dyDescent="0.3">
      <c r="A4813" t="s">
        <v>4110</v>
      </c>
      <c r="B4813" t="s">
        <v>172</v>
      </c>
    </row>
    <row r="4814" spans="1:2" x14ac:dyDescent="0.3">
      <c r="A4814" t="s">
        <v>4111</v>
      </c>
      <c r="B4814" t="s">
        <v>172</v>
      </c>
    </row>
    <row r="4815" spans="1:2" x14ac:dyDescent="0.3">
      <c r="A4815" t="s">
        <v>4112</v>
      </c>
      <c r="B4815" t="s">
        <v>172</v>
      </c>
    </row>
    <row r="4816" spans="1:2" x14ac:dyDescent="0.3">
      <c r="A4816" t="s">
        <v>4113</v>
      </c>
      <c r="B4816" t="s">
        <v>172</v>
      </c>
    </row>
    <row r="4817" spans="1:2" x14ac:dyDescent="0.3">
      <c r="A4817" t="s">
        <v>4114</v>
      </c>
      <c r="B4817" t="s">
        <v>172</v>
      </c>
    </row>
    <row r="4818" spans="1:2" x14ac:dyDescent="0.3">
      <c r="A4818" t="s">
        <v>4115</v>
      </c>
      <c r="B4818" t="s">
        <v>172</v>
      </c>
    </row>
    <row r="4819" spans="1:2" x14ac:dyDescent="0.3">
      <c r="A4819" t="s">
        <v>4116</v>
      </c>
      <c r="B4819" t="s">
        <v>172</v>
      </c>
    </row>
    <row r="4820" spans="1:2" x14ac:dyDescent="0.3">
      <c r="A4820" t="s">
        <v>4117</v>
      </c>
      <c r="B4820" t="s">
        <v>172</v>
      </c>
    </row>
    <row r="4821" spans="1:2" x14ac:dyDescent="0.3">
      <c r="A4821" t="s">
        <v>4118</v>
      </c>
      <c r="B4821" t="s">
        <v>172</v>
      </c>
    </row>
    <row r="4822" spans="1:2" x14ac:dyDescent="0.3">
      <c r="A4822" t="s">
        <v>4119</v>
      </c>
      <c r="B4822" t="s">
        <v>172</v>
      </c>
    </row>
    <row r="4823" spans="1:2" x14ac:dyDescent="0.3">
      <c r="A4823" t="s">
        <v>4120</v>
      </c>
      <c r="B4823" t="s">
        <v>172</v>
      </c>
    </row>
    <row r="4824" spans="1:2" x14ac:dyDescent="0.3">
      <c r="A4824" t="s">
        <v>4121</v>
      </c>
      <c r="B4824" t="s">
        <v>172</v>
      </c>
    </row>
    <row r="4825" spans="1:2" x14ac:dyDescent="0.3">
      <c r="A4825" t="s">
        <v>4122</v>
      </c>
      <c r="B4825" t="s">
        <v>172</v>
      </c>
    </row>
    <row r="4826" spans="1:2" x14ac:dyDescent="0.3">
      <c r="A4826" t="s">
        <v>4123</v>
      </c>
      <c r="B4826" t="s">
        <v>172</v>
      </c>
    </row>
    <row r="4827" spans="1:2" x14ac:dyDescent="0.3">
      <c r="A4827" t="s">
        <v>4124</v>
      </c>
      <c r="B4827" t="s">
        <v>172</v>
      </c>
    </row>
    <row r="4828" spans="1:2" x14ac:dyDescent="0.3">
      <c r="A4828" t="s">
        <v>4125</v>
      </c>
      <c r="B4828" t="s">
        <v>172</v>
      </c>
    </row>
    <row r="4829" spans="1:2" x14ac:dyDescent="0.3">
      <c r="A4829" t="s">
        <v>4126</v>
      </c>
      <c r="B4829" t="s">
        <v>172</v>
      </c>
    </row>
    <row r="4830" spans="1:2" x14ac:dyDescent="0.3">
      <c r="A4830" t="s">
        <v>4127</v>
      </c>
      <c r="B4830" t="s">
        <v>172</v>
      </c>
    </row>
    <row r="4831" spans="1:2" x14ac:dyDescent="0.3">
      <c r="A4831" t="s">
        <v>4128</v>
      </c>
      <c r="B4831" t="s">
        <v>172</v>
      </c>
    </row>
    <row r="4832" spans="1:2" x14ac:dyDescent="0.3">
      <c r="A4832" t="s">
        <v>4129</v>
      </c>
      <c r="B4832" t="s">
        <v>172</v>
      </c>
    </row>
    <row r="4833" spans="1:2" x14ac:dyDescent="0.3">
      <c r="A4833" t="s">
        <v>4130</v>
      </c>
      <c r="B4833" t="s">
        <v>172</v>
      </c>
    </row>
    <row r="4834" spans="1:2" x14ac:dyDescent="0.3">
      <c r="A4834" t="s">
        <v>4131</v>
      </c>
      <c r="B4834" t="s">
        <v>172</v>
      </c>
    </row>
    <row r="4835" spans="1:2" x14ac:dyDescent="0.3">
      <c r="A4835" t="s">
        <v>4132</v>
      </c>
      <c r="B4835" t="s">
        <v>172</v>
      </c>
    </row>
    <row r="4836" spans="1:2" x14ac:dyDescent="0.3">
      <c r="A4836" t="s">
        <v>4133</v>
      </c>
      <c r="B4836" t="s">
        <v>172</v>
      </c>
    </row>
    <row r="4837" spans="1:2" x14ac:dyDescent="0.3">
      <c r="A4837" t="s">
        <v>4134</v>
      </c>
      <c r="B4837" t="s">
        <v>172</v>
      </c>
    </row>
    <row r="4838" spans="1:2" x14ac:dyDescent="0.3">
      <c r="A4838" t="s">
        <v>4135</v>
      </c>
      <c r="B4838" t="s">
        <v>172</v>
      </c>
    </row>
    <row r="4839" spans="1:2" x14ac:dyDescent="0.3">
      <c r="A4839" t="s">
        <v>4136</v>
      </c>
      <c r="B4839" t="s">
        <v>172</v>
      </c>
    </row>
    <row r="4840" spans="1:2" x14ac:dyDescent="0.3">
      <c r="B4840" t="s">
        <v>172</v>
      </c>
    </row>
    <row r="4841" spans="1:2" x14ac:dyDescent="0.3">
      <c r="A4841" t="s">
        <v>4137</v>
      </c>
      <c r="B4841" t="s">
        <v>172</v>
      </c>
    </row>
    <row r="4842" spans="1:2" x14ac:dyDescent="0.3">
      <c r="A4842" t="s">
        <v>4138</v>
      </c>
      <c r="B4842" t="s">
        <v>172</v>
      </c>
    </row>
    <row r="4843" spans="1:2" x14ac:dyDescent="0.3">
      <c r="A4843" t="s">
        <v>4139</v>
      </c>
      <c r="B4843" t="s">
        <v>172</v>
      </c>
    </row>
    <row r="4844" spans="1:2" x14ac:dyDescent="0.3">
      <c r="A4844" t="s">
        <v>4140</v>
      </c>
      <c r="B4844" t="s">
        <v>172</v>
      </c>
    </row>
    <row r="4845" spans="1:2" x14ac:dyDescent="0.3">
      <c r="A4845" t="s">
        <v>4141</v>
      </c>
      <c r="B4845" t="s">
        <v>172</v>
      </c>
    </row>
    <row r="4846" spans="1:2" x14ac:dyDescent="0.3">
      <c r="A4846" t="s">
        <v>1005</v>
      </c>
      <c r="B4846" t="s">
        <v>173</v>
      </c>
    </row>
    <row r="4847" spans="1:2" x14ac:dyDescent="0.3">
      <c r="A4847" t="s">
        <v>4142</v>
      </c>
      <c r="B4847" t="s">
        <v>173</v>
      </c>
    </row>
    <row r="4848" spans="1:2" x14ac:dyDescent="0.3">
      <c r="A4848" t="s">
        <v>4143</v>
      </c>
      <c r="B4848" t="s">
        <v>176</v>
      </c>
    </row>
    <row r="4849" spans="1:2" x14ac:dyDescent="0.3">
      <c r="A4849" t="s">
        <v>4144</v>
      </c>
      <c r="B4849" t="s">
        <v>172</v>
      </c>
    </row>
    <row r="4850" spans="1:2" x14ac:dyDescent="0.3">
      <c r="A4850" t="s">
        <v>4145</v>
      </c>
      <c r="B4850" t="s">
        <v>172</v>
      </c>
    </row>
    <row r="4851" spans="1:2" x14ac:dyDescent="0.3">
      <c r="A4851" t="s">
        <v>4146</v>
      </c>
      <c r="B4851" t="s">
        <v>172</v>
      </c>
    </row>
    <row r="4852" spans="1:2" x14ac:dyDescent="0.3">
      <c r="A4852" t="s">
        <v>4147</v>
      </c>
      <c r="B4852" t="s">
        <v>172</v>
      </c>
    </row>
    <row r="4853" spans="1:2" x14ac:dyDescent="0.3">
      <c r="A4853" t="s">
        <v>4148</v>
      </c>
      <c r="B4853" t="s">
        <v>172</v>
      </c>
    </row>
    <row r="4854" spans="1:2" x14ac:dyDescent="0.3">
      <c r="A4854" t="s">
        <v>4149</v>
      </c>
      <c r="B4854" t="s">
        <v>172</v>
      </c>
    </row>
    <row r="4855" spans="1:2" x14ac:dyDescent="0.3">
      <c r="A4855" t="s">
        <v>4150</v>
      </c>
      <c r="B4855" t="s">
        <v>172</v>
      </c>
    </row>
    <row r="4856" spans="1:2" x14ac:dyDescent="0.3">
      <c r="A4856" t="s">
        <v>4151</v>
      </c>
      <c r="B4856" t="s">
        <v>172</v>
      </c>
    </row>
    <row r="4857" spans="1:2" x14ac:dyDescent="0.3">
      <c r="A4857" t="s">
        <v>4152</v>
      </c>
      <c r="B4857" t="s">
        <v>172</v>
      </c>
    </row>
    <row r="4858" spans="1:2" x14ac:dyDescent="0.3">
      <c r="A4858" t="s">
        <v>4153</v>
      </c>
      <c r="B4858" t="s">
        <v>172</v>
      </c>
    </row>
    <row r="4859" spans="1:2" x14ac:dyDescent="0.3">
      <c r="A4859" t="s">
        <v>2220</v>
      </c>
      <c r="B4859" t="s">
        <v>172</v>
      </c>
    </row>
    <row r="4860" spans="1:2" x14ac:dyDescent="0.3">
      <c r="A4860" t="s">
        <v>4154</v>
      </c>
      <c r="B4860" t="s">
        <v>172</v>
      </c>
    </row>
    <row r="4861" spans="1:2" x14ac:dyDescent="0.3">
      <c r="A4861" t="s">
        <v>4155</v>
      </c>
      <c r="B4861" t="s">
        <v>172</v>
      </c>
    </row>
    <row r="4862" spans="1:2" x14ac:dyDescent="0.3">
      <c r="A4862" t="s">
        <v>4156</v>
      </c>
      <c r="B4862" t="s">
        <v>172</v>
      </c>
    </row>
    <row r="4863" spans="1:2" x14ac:dyDescent="0.3">
      <c r="A4863" t="s">
        <v>4157</v>
      </c>
      <c r="B4863" t="s">
        <v>172</v>
      </c>
    </row>
    <row r="4864" spans="1:2" x14ac:dyDescent="0.3">
      <c r="A4864" t="s">
        <v>4158</v>
      </c>
      <c r="B4864" t="s">
        <v>172</v>
      </c>
    </row>
    <row r="4865" spans="1:2" x14ac:dyDescent="0.3">
      <c r="A4865" t="s">
        <v>4159</v>
      </c>
      <c r="B4865" t="s">
        <v>172</v>
      </c>
    </row>
    <row r="4866" spans="1:2" x14ac:dyDescent="0.3">
      <c r="A4866" t="s">
        <v>4160</v>
      </c>
      <c r="B4866" t="s">
        <v>172</v>
      </c>
    </row>
    <row r="4867" spans="1:2" x14ac:dyDescent="0.3">
      <c r="A4867" t="s">
        <v>4161</v>
      </c>
      <c r="B4867" t="s">
        <v>172</v>
      </c>
    </row>
    <row r="4868" spans="1:2" x14ac:dyDescent="0.3">
      <c r="A4868" t="s">
        <v>4162</v>
      </c>
      <c r="B4868" t="s">
        <v>280</v>
      </c>
    </row>
    <row r="4869" spans="1:2" x14ac:dyDescent="0.3">
      <c r="A4869" t="s">
        <v>4163</v>
      </c>
      <c r="B4869" t="s">
        <v>280</v>
      </c>
    </row>
    <row r="4870" spans="1:2" x14ac:dyDescent="0.3">
      <c r="A4870" t="s">
        <v>4164</v>
      </c>
      <c r="B4870" t="s">
        <v>252</v>
      </c>
    </row>
    <row r="4871" spans="1:2" x14ac:dyDescent="0.3">
      <c r="A4871" t="s">
        <v>4165</v>
      </c>
      <c r="B4871" t="s">
        <v>252</v>
      </c>
    </row>
    <row r="4872" spans="1:2" x14ac:dyDescent="0.3">
      <c r="A4872" t="s">
        <v>4166</v>
      </c>
      <c r="B4872" t="s">
        <v>1622</v>
      </c>
    </row>
    <row r="4873" spans="1:2" x14ac:dyDescent="0.3">
      <c r="A4873" t="s">
        <v>4167</v>
      </c>
      <c r="B4873" t="s">
        <v>252</v>
      </c>
    </row>
    <row r="4874" spans="1:2" x14ac:dyDescent="0.3">
      <c r="A4874" t="s">
        <v>4168</v>
      </c>
      <c r="B4874" t="s">
        <v>292</v>
      </c>
    </row>
    <row r="4875" spans="1:2" x14ac:dyDescent="0.3">
      <c r="A4875" t="s">
        <v>4169</v>
      </c>
      <c r="B4875" t="s">
        <v>292</v>
      </c>
    </row>
    <row r="4876" spans="1:2" x14ac:dyDescent="0.3">
      <c r="A4876" t="s">
        <v>4170</v>
      </c>
      <c r="B4876" t="s">
        <v>292</v>
      </c>
    </row>
    <row r="4877" spans="1:2" x14ac:dyDescent="0.3">
      <c r="A4877" t="s">
        <v>4171</v>
      </c>
      <c r="B4877" t="s">
        <v>292</v>
      </c>
    </row>
    <row r="4878" spans="1:2" x14ac:dyDescent="0.3">
      <c r="A4878" t="s">
        <v>4172</v>
      </c>
      <c r="B4878" t="s">
        <v>292</v>
      </c>
    </row>
    <row r="4879" spans="1:2" x14ac:dyDescent="0.3">
      <c r="A4879" t="s">
        <v>4173</v>
      </c>
      <c r="B4879" t="s">
        <v>292</v>
      </c>
    </row>
    <row r="4880" spans="1:2" x14ac:dyDescent="0.3">
      <c r="A4880" t="s">
        <v>4174</v>
      </c>
      <c r="B4880" t="s">
        <v>292</v>
      </c>
    </row>
    <row r="4881" spans="1:2" x14ac:dyDescent="0.3">
      <c r="A4881" t="s">
        <v>4175</v>
      </c>
      <c r="B4881" t="s">
        <v>292</v>
      </c>
    </row>
    <row r="4882" spans="1:2" x14ac:dyDescent="0.3">
      <c r="A4882" t="s">
        <v>4176</v>
      </c>
      <c r="B4882" t="s">
        <v>292</v>
      </c>
    </row>
    <row r="4883" spans="1:2" x14ac:dyDescent="0.3">
      <c r="A4883" t="s">
        <v>4177</v>
      </c>
      <c r="B4883" t="s">
        <v>292</v>
      </c>
    </row>
    <row r="4884" spans="1:2" x14ac:dyDescent="0.3">
      <c r="A4884" t="s">
        <v>4178</v>
      </c>
      <c r="B4884" t="s">
        <v>292</v>
      </c>
    </row>
    <row r="4885" spans="1:2" x14ac:dyDescent="0.3">
      <c r="A4885" t="s">
        <v>4179</v>
      </c>
      <c r="B4885" t="s">
        <v>292</v>
      </c>
    </row>
    <row r="4886" spans="1:2" x14ac:dyDescent="0.3">
      <c r="A4886" t="s">
        <v>4180</v>
      </c>
      <c r="B4886" t="s">
        <v>285</v>
      </c>
    </row>
    <row r="4887" spans="1:2" x14ac:dyDescent="0.3">
      <c r="A4887" t="s">
        <v>4181</v>
      </c>
      <c r="B4887" t="s">
        <v>285</v>
      </c>
    </row>
    <row r="4888" spans="1:2" x14ac:dyDescent="0.3">
      <c r="A4888" t="s">
        <v>4182</v>
      </c>
      <c r="B4888" t="s">
        <v>285</v>
      </c>
    </row>
    <row r="4889" spans="1:2" x14ac:dyDescent="0.3">
      <c r="A4889" t="s">
        <v>4183</v>
      </c>
      <c r="B4889" t="s">
        <v>285</v>
      </c>
    </row>
    <row r="4890" spans="1:2" x14ac:dyDescent="0.3">
      <c r="A4890" t="s">
        <v>4184</v>
      </c>
      <c r="B4890" t="s">
        <v>285</v>
      </c>
    </row>
    <row r="4891" spans="1:2" x14ac:dyDescent="0.3">
      <c r="A4891" t="s">
        <v>4185</v>
      </c>
      <c r="B4891" t="s">
        <v>285</v>
      </c>
    </row>
    <row r="4892" spans="1:2" x14ac:dyDescent="0.3">
      <c r="A4892" t="s">
        <v>4186</v>
      </c>
      <c r="B4892" t="s">
        <v>285</v>
      </c>
    </row>
    <row r="4893" spans="1:2" x14ac:dyDescent="0.3">
      <c r="A4893" t="s">
        <v>4187</v>
      </c>
      <c r="B4893" t="s">
        <v>285</v>
      </c>
    </row>
    <row r="4894" spans="1:2" x14ac:dyDescent="0.3">
      <c r="A4894" t="s">
        <v>4188</v>
      </c>
      <c r="B4894" t="s">
        <v>285</v>
      </c>
    </row>
    <row r="4895" spans="1:2" x14ac:dyDescent="0.3">
      <c r="A4895" t="s">
        <v>4189</v>
      </c>
      <c r="B4895" t="s">
        <v>285</v>
      </c>
    </row>
    <row r="4896" spans="1:2" x14ac:dyDescent="0.3">
      <c r="A4896" t="s">
        <v>4190</v>
      </c>
      <c r="B4896" t="s">
        <v>285</v>
      </c>
    </row>
    <row r="4897" spans="1:2" x14ac:dyDescent="0.3">
      <c r="A4897" t="s">
        <v>4191</v>
      </c>
      <c r="B4897" t="s">
        <v>285</v>
      </c>
    </row>
    <row r="4898" spans="1:2" x14ac:dyDescent="0.3">
      <c r="A4898" t="s">
        <v>4192</v>
      </c>
      <c r="B4898" t="s">
        <v>285</v>
      </c>
    </row>
    <row r="4899" spans="1:2" x14ac:dyDescent="0.3">
      <c r="A4899" t="s">
        <v>4193</v>
      </c>
      <c r="B4899" t="s">
        <v>285</v>
      </c>
    </row>
    <row r="4900" spans="1:2" x14ac:dyDescent="0.3">
      <c r="A4900" t="s">
        <v>4194</v>
      </c>
      <c r="B4900" t="s">
        <v>285</v>
      </c>
    </row>
    <row r="4901" spans="1:2" x14ac:dyDescent="0.3">
      <c r="A4901" t="s">
        <v>4195</v>
      </c>
      <c r="B4901" t="s">
        <v>285</v>
      </c>
    </row>
    <row r="4902" spans="1:2" x14ac:dyDescent="0.3">
      <c r="A4902" t="s">
        <v>4196</v>
      </c>
      <c r="B4902" t="s">
        <v>285</v>
      </c>
    </row>
    <row r="4903" spans="1:2" x14ac:dyDescent="0.3">
      <c r="A4903" t="s">
        <v>4197</v>
      </c>
      <c r="B4903" t="s">
        <v>285</v>
      </c>
    </row>
    <row r="4904" spans="1:2" x14ac:dyDescent="0.3">
      <c r="A4904" t="s">
        <v>4198</v>
      </c>
      <c r="B4904" t="s">
        <v>285</v>
      </c>
    </row>
    <row r="4905" spans="1:2" x14ac:dyDescent="0.3">
      <c r="A4905" t="s">
        <v>4199</v>
      </c>
      <c r="B4905" t="s">
        <v>3306</v>
      </c>
    </row>
    <row r="4906" spans="1:2" x14ac:dyDescent="0.3">
      <c r="A4906" t="s">
        <v>4200</v>
      </c>
      <c r="B4906" t="s">
        <v>3306</v>
      </c>
    </row>
    <row r="4907" spans="1:2" x14ac:dyDescent="0.3">
      <c r="A4907" t="s">
        <v>4201</v>
      </c>
      <c r="B4907" t="s">
        <v>3306</v>
      </c>
    </row>
    <row r="4908" spans="1:2" x14ac:dyDescent="0.3">
      <c r="A4908" t="s">
        <v>166</v>
      </c>
      <c r="B4908" t="s">
        <v>3306</v>
      </c>
    </row>
    <row r="4909" spans="1:2" x14ac:dyDescent="0.3">
      <c r="A4909" t="s">
        <v>4202</v>
      </c>
      <c r="B4909" t="s">
        <v>3306</v>
      </c>
    </row>
    <row r="4910" spans="1:2" x14ac:dyDescent="0.3">
      <c r="A4910" t="s">
        <v>4203</v>
      </c>
      <c r="B4910" t="s">
        <v>3306</v>
      </c>
    </row>
    <row r="4911" spans="1:2" x14ac:dyDescent="0.3">
      <c r="A4911" t="s">
        <v>4204</v>
      </c>
      <c r="B4911" t="s">
        <v>3306</v>
      </c>
    </row>
    <row r="4912" spans="1:2" x14ac:dyDescent="0.3">
      <c r="A4912" t="s">
        <v>4205</v>
      </c>
      <c r="B4912" t="s">
        <v>3306</v>
      </c>
    </row>
    <row r="4913" spans="1:2" x14ac:dyDescent="0.3">
      <c r="A4913" t="s">
        <v>4206</v>
      </c>
      <c r="B4913" t="s">
        <v>3306</v>
      </c>
    </row>
    <row r="4914" spans="1:2" x14ac:dyDescent="0.3">
      <c r="A4914" t="s">
        <v>4207</v>
      </c>
      <c r="B4914" t="s">
        <v>3306</v>
      </c>
    </row>
    <row r="4915" spans="1:2" x14ac:dyDescent="0.3">
      <c r="A4915" t="s">
        <v>4208</v>
      </c>
      <c r="B4915" t="s">
        <v>3306</v>
      </c>
    </row>
    <row r="4916" spans="1:2" x14ac:dyDescent="0.3">
      <c r="A4916" t="s">
        <v>4209</v>
      </c>
      <c r="B4916" t="s">
        <v>3306</v>
      </c>
    </row>
    <row r="4917" spans="1:2" x14ac:dyDescent="0.3">
      <c r="A4917" t="s">
        <v>4210</v>
      </c>
      <c r="B4917" t="s">
        <v>3306</v>
      </c>
    </row>
    <row r="4918" spans="1:2" x14ac:dyDescent="0.3">
      <c r="A4918" t="s">
        <v>4211</v>
      </c>
      <c r="B4918" t="s">
        <v>3306</v>
      </c>
    </row>
    <row r="4919" spans="1:2" x14ac:dyDescent="0.3">
      <c r="A4919" t="s">
        <v>4212</v>
      </c>
      <c r="B4919" t="s">
        <v>3306</v>
      </c>
    </row>
    <row r="4920" spans="1:2" x14ac:dyDescent="0.3">
      <c r="A4920" t="s">
        <v>4213</v>
      </c>
      <c r="B4920" t="s">
        <v>166</v>
      </c>
    </row>
    <row r="4921" spans="1:2" x14ac:dyDescent="0.3">
      <c r="A4921" t="s">
        <v>4214</v>
      </c>
      <c r="B4921" t="s">
        <v>246</v>
      </c>
    </row>
    <row r="4922" spans="1:2" x14ac:dyDescent="0.3">
      <c r="A4922" t="s">
        <v>4215</v>
      </c>
      <c r="B4922" t="s">
        <v>166</v>
      </c>
    </row>
    <row r="4923" spans="1:2" x14ac:dyDescent="0.3">
      <c r="A4923" t="s">
        <v>4216</v>
      </c>
      <c r="B4923" t="s">
        <v>166</v>
      </c>
    </row>
    <row r="4924" spans="1:2" x14ac:dyDescent="0.3">
      <c r="A4924" t="s">
        <v>4217</v>
      </c>
      <c r="B4924" t="s">
        <v>166</v>
      </c>
    </row>
    <row r="4925" spans="1:2" x14ac:dyDescent="0.3">
      <c r="A4925" t="s">
        <v>4218</v>
      </c>
      <c r="B4925" t="s">
        <v>166</v>
      </c>
    </row>
    <row r="4926" spans="1:2" x14ac:dyDescent="0.3">
      <c r="A4926" t="s">
        <v>4219</v>
      </c>
      <c r="B4926" t="s">
        <v>2324</v>
      </c>
    </row>
    <row r="4927" spans="1:2" x14ac:dyDescent="0.3">
      <c r="A4927" t="s">
        <v>4220</v>
      </c>
      <c r="B4927" t="s">
        <v>2324</v>
      </c>
    </row>
    <row r="4928" spans="1:2" x14ac:dyDescent="0.3">
      <c r="A4928" t="s">
        <v>4221</v>
      </c>
      <c r="B4928" t="s">
        <v>2324</v>
      </c>
    </row>
    <row r="4929" spans="1:2" x14ac:dyDescent="0.3">
      <c r="A4929" t="s">
        <v>4222</v>
      </c>
      <c r="B4929" t="s">
        <v>896</v>
      </c>
    </row>
    <row r="4930" spans="1:2" x14ac:dyDescent="0.3">
      <c r="A4930" t="s">
        <v>4223</v>
      </c>
      <c r="B4930" t="s">
        <v>896</v>
      </c>
    </row>
    <row r="4931" spans="1:2" x14ac:dyDescent="0.3">
      <c r="A4931" t="s">
        <v>4224</v>
      </c>
      <c r="B4931" t="s">
        <v>2294</v>
      </c>
    </row>
    <row r="4932" spans="1:2" x14ac:dyDescent="0.3">
      <c r="A4932" t="s">
        <v>4225</v>
      </c>
      <c r="B4932" t="s">
        <v>2303</v>
      </c>
    </row>
    <row r="4933" spans="1:2" x14ac:dyDescent="0.3">
      <c r="A4933" t="s">
        <v>4226</v>
      </c>
      <c r="B4933" t="s">
        <v>2289</v>
      </c>
    </row>
    <row r="4934" spans="1:2" x14ac:dyDescent="0.3">
      <c r="A4934" t="s">
        <v>4227</v>
      </c>
      <c r="B4934" t="s">
        <v>2289</v>
      </c>
    </row>
    <row r="4935" spans="1:2" x14ac:dyDescent="0.3">
      <c r="A4935" t="s">
        <v>4228</v>
      </c>
      <c r="B4935" t="s">
        <v>2249</v>
      </c>
    </row>
    <row r="4936" spans="1:2" x14ac:dyDescent="0.3">
      <c r="A4936" t="s">
        <v>4229</v>
      </c>
      <c r="B4936" t="s">
        <v>1779</v>
      </c>
    </row>
    <row r="4937" spans="1:2" x14ac:dyDescent="0.3">
      <c r="A4937" t="s">
        <v>4230</v>
      </c>
      <c r="B4937" t="s">
        <v>182</v>
      </c>
    </row>
    <row r="4938" spans="1:2" x14ac:dyDescent="0.3">
      <c r="A4938" t="s">
        <v>4231</v>
      </c>
      <c r="B4938" t="s">
        <v>199</v>
      </c>
    </row>
    <row r="4939" spans="1:2" x14ac:dyDescent="0.3">
      <c r="A4939" t="s">
        <v>4232</v>
      </c>
      <c r="B4939" t="s">
        <v>199</v>
      </c>
    </row>
    <row r="4940" spans="1:2" x14ac:dyDescent="0.3">
      <c r="A4940" t="s">
        <v>4233</v>
      </c>
      <c r="B4940" t="s">
        <v>2208</v>
      </c>
    </row>
    <row r="4941" spans="1:2" x14ac:dyDescent="0.3">
      <c r="A4941" t="s">
        <v>4234</v>
      </c>
      <c r="B4941" t="s">
        <v>2208</v>
      </c>
    </row>
    <row r="4942" spans="1:2" x14ac:dyDescent="0.3">
      <c r="A4942" t="s">
        <v>4235</v>
      </c>
      <c r="B4942" t="s">
        <v>2208</v>
      </c>
    </row>
    <row r="4943" spans="1:2" x14ac:dyDescent="0.3">
      <c r="A4943" t="s">
        <v>4236</v>
      </c>
      <c r="B4943" t="s">
        <v>173</v>
      </c>
    </row>
    <row r="4944" spans="1:2" x14ac:dyDescent="0.3">
      <c r="A4944" t="s">
        <v>4237</v>
      </c>
      <c r="B4944" t="s">
        <v>173</v>
      </c>
    </row>
    <row r="4945" spans="1:2" x14ac:dyDescent="0.3">
      <c r="A4945" t="s">
        <v>4238</v>
      </c>
      <c r="B4945" t="s">
        <v>173</v>
      </c>
    </row>
    <row r="4946" spans="1:2" x14ac:dyDescent="0.3">
      <c r="A4946" t="s">
        <v>4239</v>
      </c>
      <c r="B4946" t="s">
        <v>173</v>
      </c>
    </row>
    <row r="4947" spans="1:2" x14ac:dyDescent="0.3">
      <c r="A4947" t="s">
        <v>4240</v>
      </c>
      <c r="B4947" t="s">
        <v>173</v>
      </c>
    </row>
    <row r="4948" spans="1:2" x14ac:dyDescent="0.3">
      <c r="A4948" t="s">
        <v>4241</v>
      </c>
      <c r="B4948" t="s">
        <v>173</v>
      </c>
    </row>
    <row r="4949" spans="1:2" x14ac:dyDescent="0.3">
      <c r="A4949" t="s">
        <v>4242</v>
      </c>
      <c r="B4949" t="s">
        <v>725</v>
      </c>
    </row>
    <row r="4950" spans="1:2" x14ac:dyDescent="0.3">
      <c r="A4950" t="s">
        <v>4243</v>
      </c>
      <c r="B4950" t="s">
        <v>2149</v>
      </c>
    </row>
    <row r="4951" spans="1:2" x14ac:dyDescent="0.3">
      <c r="A4951" t="s">
        <v>4244</v>
      </c>
      <c r="B4951" t="s">
        <v>2149</v>
      </c>
    </row>
    <row r="4952" spans="1:2" x14ac:dyDescent="0.3">
      <c r="A4952" t="s">
        <v>4245</v>
      </c>
      <c r="B4952" t="s">
        <v>182</v>
      </c>
    </row>
    <row r="4953" spans="1:2" x14ac:dyDescent="0.3">
      <c r="A4953" t="s">
        <v>4246</v>
      </c>
      <c r="B4953" t="s">
        <v>191</v>
      </c>
    </row>
    <row r="4954" spans="1:2" x14ac:dyDescent="0.3">
      <c r="A4954" t="s">
        <v>4247</v>
      </c>
      <c r="B4954" t="s">
        <v>182</v>
      </c>
    </row>
    <row r="4955" spans="1:2" x14ac:dyDescent="0.3">
      <c r="A4955" t="s">
        <v>4248</v>
      </c>
      <c r="B4955" t="s">
        <v>182</v>
      </c>
    </row>
    <row r="4956" spans="1:2" x14ac:dyDescent="0.3">
      <c r="A4956" t="s">
        <v>4249</v>
      </c>
      <c r="B4956" t="s">
        <v>182</v>
      </c>
    </row>
    <row r="4957" spans="1:2" x14ac:dyDescent="0.3">
      <c r="A4957" t="s">
        <v>4250</v>
      </c>
      <c r="B4957" t="s">
        <v>195</v>
      </c>
    </row>
    <row r="4958" spans="1:2" x14ac:dyDescent="0.3">
      <c r="A4958" t="s">
        <v>4251</v>
      </c>
      <c r="B4958" t="s">
        <v>195</v>
      </c>
    </row>
    <row r="4959" spans="1:2" x14ac:dyDescent="0.3">
      <c r="A4959" t="s">
        <v>4252</v>
      </c>
      <c r="B4959" t="s">
        <v>193</v>
      </c>
    </row>
    <row r="4960" spans="1:2" x14ac:dyDescent="0.3">
      <c r="A4960" t="s">
        <v>1172</v>
      </c>
      <c r="B4960" t="s">
        <v>193</v>
      </c>
    </row>
    <row r="4961" spans="1:2" x14ac:dyDescent="0.3">
      <c r="A4961" t="s">
        <v>4253</v>
      </c>
      <c r="B4961" t="s">
        <v>193</v>
      </c>
    </row>
    <row r="4962" spans="1:2" x14ac:dyDescent="0.3">
      <c r="A4962" t="s">
        <v>4254</v>
      </c>
      <c r="B4962" t="s">
        <v>193</v>
      </c>
    </row>
    <row r="4963" spans="1:2" x14ac:dyDescent="0.3">
      <c r="A4963" t="s">
        <v>4255</v>
      </c>
      <c r="B4963" t="s">
        <v>193</v>
      </c>
    </row>
    <row r="4964" spans="1:2" x14ac:dyDescent="0.3">
      <c r="A4964" t="s">
        <v>4256</v>
      </c>
      <c r="B4964" t="s">
        <v>193</v>
      </c>
    </row>
    <row r="4965" spans="1:2" x14ac:dyDescent="0.3">
      <c r="A4965" t="s">
        <v>4257</v>
      </c>
      <c r="B4965" t="s">
        <v>193</v>
      </c>
    </row>
    <row r="4966" spans="1:2" x14ac:dyDescent="0.3">
      <c r="A4966" t="s">
        <v>4258</v>
      </c>
      <c r="B4966" t="s">
        <v>193</v>
      </c>
    </row>
    <row r="4967" spans="1:2" x14ac:dyDescent="0.3">
      <c r="A4967" t="s">
        <v>4259</v>
      </c>
      <c r="B4967" t="s">
        <v>193</v>
      </c>
    </row>
    <row r="4968" spans="1:2" x14ac:dyDescent="0.3">
      <c r="B4968" t="s">
        <v>1</v>
      </c>
    </row>
    <row r="4969" spans="1:2" x14ac:dyDescent="0.3">
      <c r="A4969" t="s">
        <v>4260</v>
      </c>
      <c r="B4969" t="s">
        <v>193</v>
      </c>
    </row>
    <row r="4970" spans="1:2" x14ac:dyDescent="0.3">
      <c r="A4970" t="s">
        <v>4261</v>
      </c>
      <c r="B4970" t="s">
        <v>193</v>
      </c>
    </row>
    <row r="4971" spans="1:2" x14ac:dyDescent="0.3">
      <c r="A4971" t="s">
        <v>4262</v>
      </c>
      <c r="B4971" t="s">
        <v>193</v>
      </c>
    </row>
    <row r="4972" spans="1:2" x14ac:dyDescent="0.3">
      <c r="A4972" t="s">
        <v>4263</v>
      </c>
      <c r="B4972" t="s">
        <v>896</v>
      </c>
    </row>
    <row r="4973" spans="1:2" x14ac:dyDescent="0.3">
      <c r="A4973" t="s">
        <v>4264</v>
      </c>
      <c r="B4973" t="s">
        <v>166</v>
      </c>
    </row>
    <row r="4974" spans="1:2" x14ac:dyDescent="0.3">
      <c r="A4974" t="s">
        <v>4265</v>
      </c>
      <c r="B4974" t="s">
        <v>166</v>
      </c>
    </row>
    <row r="4975" spans="1:2" x14ac:dyDescent="0.3">
      <c r="A4975" t="s">
        <v>4266</v>
      </c>
      <c r="B4975" t="s">
        <v>1874</v>
      </c>
    </row>
    <row r="4976" spans="1:2" x14ac:dyDescent="0.3">
      <c r="A4976" t="s">
        <v>4267</v>
      </c>
      <c r="B4976" t="s">
        <v>2353</v>
      </c>
    </row>
    <row r="4977" spans="1:2" x14ac:dyDescent="0.3">
      <c r="A4977" t="s">
        <v>4268</v>
      </c>
      <c r="B4977" t="s">
        <v>2353</v>
      </c>
    </row>
    <row r="4978" spans="1:2" x14ac:dyDescent="0.3">
      <c r="A4978" t="s">
        <v>4269</v>
      </c>
      <c r="B4978" t="s">
        <v>2353</v>
      </c>
    </row>
    <row r="4979" spans="1:2" x14ac:dyDescent="0.3">
      <c r="A4979" t="s">
        <v>4270</v>
      </c>
      <c r="B4979" t="s">
        <v>2353</v>
      </c>
    </row>
    <row r="4980" spans="1:2" x14ac:dyDescent="0.3">
      <c r="A4980" t="s">
        <v>4271</v>
      </c>
      <c r="B4980" t="s">
        <v>2353</v>
      </c>
    </row>
    <row r="4981" spans="1:2" x14ac:dyDescent="0.3">
      <c r="A4981" t="s">
        <v>4272</v>
      </c>
      <c r="B4981" t="s">
        <v>2353</v>
      </c>
    </row>
    <row r="4982" spans="1:2" x14ac:dyDescent="0.3">
      <c r="A4982" t="s">
        <v>4273</v>
      </c>
      <c r="B4982" t="s">
        <v>2353</v>
      </c>
    </row>
    <row r="4983" spans="1:2" x14ac:dyDescent="0.3">
      <c r="A4983" t="s">
        <v>4274</v>
      </c>
      <c r="B4983" t="s">
        <v>2353</v>
      </c>
    </row>
    <row r="4984" spans="1:2" x14ac:dyDescent="0.3">
      <c r="A4984" t="s">
        <v>4275</v>
      </c>
      <c r="B4984" t="s">
        <v>2353</v>
      </c>
    </row>
    <row r="4985" spans="1:2" x14ac:dyDescent="0.3">
      <c r="A4985" t="s">
        <v>4276</v>
      </c>
      <c r="B4985" t="s">
        <v>166</v>
      </c>
    </row>
    <row r="4986" spans="1:2" x14ac:dyDescent="0.3">
      <c r="A4986" t="s">
        <v>4277</v>
      </c>
      <c r="B4986" t="s">
        <v>166</v>
      </c>
    </row>
    <row r="4987" spans="1:2" x14ac:dyDescent="0.3">
      <c r="A4987" t="s">
        <v>4278</v>
      </c>
      <c r="B4987" t="s">
        <v>166</v>
      </c>
    </row>
    <row r="4988" spans="1:2" x14ac:dyDescent="0.3">
      <c r="A4988" t="s">
        <v>4279</v>
      </c>
      <c r="B4988" t="s">
        <v>166</v>
      </c>
    </row>
    <row r="4989" spans="1:2" x14ac:dyDescent="0.3">
      <c r="A4989" t="s">
        <v>4280</v>
      </c>
      <c r="B4989" t="s">
        <v>166</v>
      </c>
    </row>
    <row r="4990" spans="1:2" x14ac:dyDescent="0.3">
      <c r="A4990" t="s">
        <v>4281</v>
      </c>
      <c r="B4990" t="s">
        <v>2363</v>
      </c>
    </row>
    <row r="4991" spans="1:2" x14ac:dyDescent="0.3">
      <c r="A4991" t="s">
        <v>4282</v>
      </c>
      <c r="B4991" t="s">
        <v>2363</v>
      </c>
    </row>
    <row r="4992" spans="1:2" x14ac:dyDescent="0.3">
      <c r="A4992" t="s">
        <v>4283</v>
      </c>
      <c r="B4992" t="s">
        <v>166</v>
      </c>
    </row>
    <row r="4993" spans="1:2" x14ac:dyDescent="0.3">
      <c r="A4993" t="s">
        <v>4284</v>
      </c>
      <c r="B4993" t="s">
        <v>166</v>
      </c>
    </row>
    <row r="4994" spans="1:2" x14ac:dyDescent="0.3">
      <c r="A4994" t="s">
        <v>4285</v>
      </c>
      <c r="B4994" t="s">
        <v>166</v>
      </c>
    </row>
    <row r="4995" spans="1:2" x14ac:dyDescent="0.3">
      <c r="A4995" t="s">
        <v>4286</v>
      </c>
      <c r="B4995" t="s">
        <v>166</v>
      </c>
    </row>
    <row r="4996" spans="1:2" x14ac:dyDescent="0.3">
      <c r="A4996" t="s">
        <v>4287</v>
      </c>
      <c r="B4996" t="s">
        <v>166</v>
      </c>
    </row>
    <row r="4997" spans="1:2" x14ac:dyDescent="0.3">
      <c r="A4997" t="s">
        <v>4288</v>
      </c>
      <c r="B4997" t="s">
        <v>166</v>
      </c>
    </row>
    <row r="4998" spans="1:2" x14ac:dyDescent="0.3">
      <c r="A4998" t="s">
        <v>4289</v>
      </c>
      <c r="B4998" t="s">
        <v>166</v>
      </c>
    </row>
    <row r="4999" spans="1:2" x14ac:dyDescent="0.3">
      <c r="A4999" t="s">
        <v>4290</v>
      </c>
      <c r="B4999" t="s">
        <v>166</v>
      </c>
    </row>
    <row r="5000" spans="1:2" x14ac:dyDescent="0.3">
      <c r="A5000" t="s">
        <v>4291</v>
      </c>
      <c r="B5000" t="s">
        <v>166</v>
      </c>
    </row>
    <row r="5001" spans="1:2" x14ac:dyDescent="0.3">
      <c r="A5001" t="s">
        <v>4292</v>
      </c>
      <c r="B5001" t="s">
        <v>1</v>
      </c>
    </row>
    <row r="5002" spans="1:2" x14ac:dyDescent="0.3">
      <c r="A5002" t="s">
        <v>4293</v>
      </c>
      <c r="B5002" t="s">
        <v>1</v>
      </c>
    </row>
    <row r="5003" spans="1:2" x14ac:dyDescent="0.3">
      <c r="A5003" t="s">
        <v>4294</v>
      </c>
      <c r="B5003" t="s">
        <v>1</v>
      </c>
    </row>
    <row r="5004" spans="1:2" x14ac:dyDescent="0.3">
      <c r="A5004" t="s">
        <v>4295</v>
      </c>
      <c r="B5004" t="s">
        <v>1</v>
      </c>
    </row>
    <row r="5005" spans="1:2" x14ac:dyDescent="0.3">
      <c r="A5005" t="s">
        <v>4296</v>
      </c>
      <c r="B5005" t="s">
        <v>1</v>
      </c>
    </row>
    <row r="5006" spans="1:2" x14ac:dyDescent="0.3">
      <c r="A5006" t="s">
        <v>4297</v>
      </c>
      <c r="B5006" t="s">
        <v>1</v>
      </c>
    </row>
    <row r="5007" spans="1:2" x14ac:dyDescent="0.3">
      <c r="A5007" t="s">
        <v>4298</v>
      </c>
      <c r="B5007" t="s">
        <v>1</v>
      </c>
    </row>
    <row r="5008" spans="1:2" x14ac:dyDescent="0.3">
      <c r="A5008" t="s">
        <v>4299</v>
      </c>
      <c r="B5008" t="s">
        <v>1</v>
      </c>
    </row>
    <row r="5009" spans="1:2" x14ac:dyDescent="0.3">
      <c r="A5009" t="s">
        <v>4300</v>
      </c>
      <c r="B5009" t="s">
        <v>1</v>
      </c>
    </row>
    <row r="5010" spans="1:2" x14ac:dyDescent="0.3">
      <c r="A5010" t="s">
        <v>4301</v>
      </c>
      <c r="B5010" t="s">
        <v>1</v>
      </c>
    </row>
    <row r="5011" spans="1:2" x14ac:dyDescent="0.3">
      <c r="A5011" t="s">
        <v>4302</v>
      </c>
      <c r="B5011" t="s">
        <v>1</v>
      </c>
    </row>
    <row r="5012" spans="1:2" x14ac:dyDescent="0.3">
      <c r="A5012" t="s">
        <v>4303</v>
      </c>
      <c r="B5012" t="s">
        <v>166</v>
      </c>
    </row>
    <row r="5013" spans="1:2" x14ac:dyDescent="0.3">
      <c r="A5013" t="s">
        <v>4304</v>
      </c>
      <c r="B5013" t="s">
        <v>166</v>
      </c>
    </row>
    <row r="5014" spans="1:2" x14ac:dyDescent="0.3">
      <c r="A5014" t="s">
        <v>4305</v>
      </c>
      <c r="B5014" t="s">
        <v>166</v>
      </c>
    </row>
    <row r="5015" spans="1:2" x14ac:dyDescent="0.3">
      <c r="A5015" t="s">
        <v>4306</v>
      </c>
      <c r="B5015" t="s">
        <v>166</v>
      </c>
    </row>
    <row r="5016" spans="1:2" x14ac:dyDescent="0.3">
      <c r="A5016" t="s">
        <v>4307</v>
      </c>
      <c r="B5016" t="s">
        <v>166</v>
      </c>
    </row>
    <row r="5017" spans="1:2" x14ac:dyDescent="0.3">
      <c r="A5017" t="s">
        <v>4308</v>
      </c>
      <c r="B5017" t="s">
        <v>166</v>
      </c>
    </row>
    <row r="5018" spans="1:2" x14ac:dyDescent="0.3">
      <c r="A5018" t="s">
        <v>4309</v>
      </c>
      <c r="B5018" t="s">
        <v>166</v>
      </c>
    </row>
    <row r="5019" spans="1:2" x14ac:dyDescent="0.3">
      <c r="A5019" t="s">
        <v>4310</v>
      </c>
      <c r="B5019" t="s">
        <v>166</v>
      </c>
    </row>
    <row r="5020" spans="1:2" x14ac:dyDescent="0.3">
      <c r="A5020" t="s">
        <v>4311</v>
      </c>
      <c r="B5020" t="s">
        <v>166</v>
      </c>
    </row>
    <row r="5021" spans="1:2" x14ac:dyDescent="0.3">
      <c r="A5021" t="s">
        <v>4312</v>
      </c>
      <c r="B5021" t="s">
        <v>166</v>
      </c>
    </row>
    <row r="5022" spans="1:2" x14ac:dyDescent="0.3">
      <c r="A5022" t="s">
        <v>4313</v>
      </c>
      <c r="B5022" t="s">
        <v>2390</v>
      </c>
    </row>
    <row r="5023" spans="1:2" x14ac:dyDescent="0.3">
      <c r="A5023" t="s">
        <v>4314</v>
      </c>
      <c r="B5023" t="s">
        <v>202</v>
      </c>
    </row>
    <row r="5024" spans="1:2" x14ac:dyDescent="0.3">
      <c r="A5024" t="s">
        <v>4315</v>
      </c>
      <c r="B5024" t="s">
        <v>202</v>
      </c>
    </row>
    <row r="5025" spans="1:2" x14ac:dyDescent="0.3">
      <c r="A5025" t="s">
        <v>4316</v>
      </c>
      <c r="B5025" t="s">
        <v>202</v>
      </c>
    </row>
    <row r="5026" spans="1:2" x14ac:dyDescent="0.3">
      <c r="A5026" t="s">
        <v>4317</v>
      </c>
      <c r="B5026" t="s">
        <v>202</v>
      </c>
    </row>
    <row r="5027" spans="1:2" x14ac:dyDescent="0.3">
      <c r="A5027" t="s">
        <v>4318</v>
      </c>
      <c r="B5027" t="s">
        <v>202</v>
      </c>
    </row>
    <row r="5028" spans="1:2" x14ac:dyDescent="0.3">
      <c r="A5028" t="s">
        <v>4319</v>
      </c>
      <c r="B5028" t="s">
        <v>202</v>
      </c>
    </row>
    <row r="5029" spans="1:2" x14ac:dyDescent="0.3">
      <c r="A5029" t="s">
        <v>4320</v>
      </c>
      <c r="B5029" t="s">
        <v>202</v>
      </c>
    </row>
    <row r="5030" spans="1:2" x14ac:dyDescent="0.3">
      <c r="A5030" t="s">
        <v>4321</v>
      </c>
      <c r="B5030" t="s">
        <v>166</v>
      </c>
    </row>
    <row r="5031" spans="1:2" x14ac:dyDescent="0.3">
      <c r="A5031" t="s">
        <v>4322</v>
      </c>
      <c r="B5031" t="s">
        <v>166</v>
      </c>
    </row>
    <row r="5032" spans="1:2" x14ac:dyDescent="0.3">
      <c r="A5032" t="s">
        <v>4323</v>
      </c>
      <c r="B5032" t="s">
        <v>166</v>
      </c>
    </row>
    <row r="5033" spans="1:2" x14ac:dyDescent="0.3">
      <c r="A5033" t="s">
        <v>4324</v>
      </c>
      <c r="B5033" t="s">
        <v>166</v>
      </c>
    </row>
    <row r="5034" spans="1:2" x14ac:dyDescent="0.3">
      <c r="A5034" t="s">
        <v>4325</v>
      </c>
      <c r="B5034" t="s">
        <v>166</v>
      </c>
    </row>
    <row r="5035" spans="1:2" x14ac:dyDescent="0.3">
      <c r="A5035" t="s">
        <v>4326</v>
      </c>
      <c r="B5035" t="s">
        <v>166</v>
      </c>
    </row>
    <row r="5036" spans="1:2" x14ac:dyDescent="0.3">
      <c r="A5036" t="s">
        <v>4327</v>
      </c>
      <c r="B5036" t="s">
        <v>166</v>
      </c>
    </row>
    <row r="5037" spans="1:2" x14ac:dyDescent="0.3">
      <c r="A5037" t="s">
        <v>4328</v>
      </c>
      <c r="B5037" t="s">
        <v>166</v>
      </c>
    </row>
    <row r="5038" spans="1:2" x14ac:dyDescent="0.3">
      <c r="A5038" t="s">
        <v>4329</v>
      </c>
      <c r="B5038" t="s">
        <v>166</v>
      </c>
    </row>
    <row r="5039" spans="1:2" x14ac:dyDescent="0.3">
      <c r="A5039" t="s">
        <v>4330</v>
      </c>
      <c r="B5039" t="s">
        <v>166</v>
      </c>
    </row>
    <row r="5040" spans="1:2" x14ac:dyDescent="0.3">
      <c r="A5040" t="s">
        <v>4331</v>
      </c>
      <c r="B5040" t="s">
        <v>166</v>
      </c>
    </row>
    <row r="5041" spans="1:2" x14ac:dyDescent="0.3">
      <c r="A5041" t="s">
        <v>4332</v>
      </c>
      <c r="B5041" t="s">
        <v>166</v>
      </c>
    </row>
    <row r="5042" spans="1:2" x14ac:dyDescent="0.3">
      <c r="A5042" t="s">
        <v>4333</v>
      </c>
      <c r="B5042" t="s">
        <v>166</v>
      </c>
    </row>
    <row r="5043" spans="1:2" x14ac:dyDescent="0.3">
      <c r="A5043" t="s">
        <v>4334</v>
      </c>
      <c r="B5043" t="s">
        <v>910</v>
      </c>
    </row>
    <row r="5044" spans="1:2" x14ac:dyDescent="0.3">
      <c r="A5044" t="s">
        <v>4335</v>
      </c>
      <c r="B5044" t="s">
        <v>2431</v>
      </c>
    </row>
    <row r="5045" spans="1:2" x14ac:dyDescent="0.3">
      <c r="A5045" t="s">
        <v>4336</v>
      </c>
      <c r="B5045" t="s">
        <v>2431</v>
      </c>
    </row>
    <row r="5046" spans="1:2" x14ac:dyDescent="0.3">
      <c r="A5046" t="s">
        <v>4337</v>
      </c>
      <c r="B5046" t="s">
        <v>2437</v>
      </c>
    </row>
    <row r="5047" spans="1:2" x14ac:dyDescent="0.3">
      <c r="A5047" t="s">
        <v>4338</v>
      </c>
      <c r="B5047" t="s">
        <v>910</v>
      </c>
    </row>
    <row r="5048" spans="1:2" x14ac:dyDescent="0.3">
      <c r="A5048" t="s">
        <v>4339</v>
      </c>
      <c r="B5048" t="s">
        <v>910</v>
      </c>
    </row>
    <row r="5049" spans="1:2" x14ac:dyDescent="0.3">
      <c r="A5049" t="s">
        <v>4340</v>
      </c>
      <c r="B5049" t="s">
        <v>910</v>
      </c>
    </row>
    <row r="5050" spans="1:2" x14ac:dyDescent="0.3">
      <c r="A5050" t="s">
        <v>4341</v>
      </c>
      <c r="B5050" t="s">
        <v>910</v>
      </c>
    </row>
    <row r="5051" spans="1:2" x14ac:dyDescent="0.3">
      <c r="A5051" t="s">
        <v>4342</v>
      </c>
      <c r="B5051" t="s">
        <v>2461</v>
      </c>
    </row>
    <row r="5052" spans="1:2" x14ac:dyDescent="0.3">
      <c r="A5052" t="s">
        <v>4343</v>
      </c>
      <c r="B5052" t="s">
        <v>896</v>
      </c>
    </row>
    <row r="5053" spans="1:2" x14ac:dyDescent="0.3">
      <c r="A5053" t="s">
        <v>4344</v>
      </c>
      <c r="B5053" t="s">
        <v>896</v>
      </c>
    </row>
    <row r="5054" spans="1:2" x14ac:dyDescent="0.3">
      <c r="A5054" t="s">
        <v>1770</v>
      </c>
      <c r="B5054" t="s">
        <v>1743</v>
      </c>
    </row>
    <row r="5055" spans="1:2" x14ac:dyDescent="0.3">
      <c r="A5055" t="s">
        <v>4345</v>
      </c>
      <c r="B5055" t="s">
        <v>1743</v>
      </c>
    </row>
    <row r="5056" spans="1:2" x14ac:dyDescent="0.3">
      <c r="A5056" t="s">
        <v>4346</v>
      </c>
      <c r="B5056" t="s">
        <v>1743</v>
      </c>
    </row>
    <row r="5057" spans="1:2" x14ac:dyDescent="0.3">
      <c r="A5057" t="s">
        <v>4347</v>
      </c>
      <c r="B5057" t="s">
        <v>1743</v>
      </c>
    </row>
    <row r="5058" spans="1:2" x14ac:dyDescent="0.3">
      <c r="A5058" t="s">
        <v>4348</v>
      </c>
      <c r="B5058" t="s">
        <v>1107</v>
      </c>
    </row>
    <row r="5059" spans="1:2" x14ac:dyDescent="0.3">
      <c r="A5059" t="s">
        <v>4349</v>
      </c>
      <c r="B5059" t="s">
        <v>1107</v>
      </c>
    </row>
    <row r="5060" spans="1:2" x14ac:dyDescent="0.3">
      <c r="A5060" t="s">
        <v>4350</v>
      </c>
      <c r="B5060" t="s">
        <v>1107</v>
      </c>
    </row>
    <row r="5061" spans="1:2" x14ac:dyDescent="0.3">
      <c r="A5061" t="s">
        <v>4351</v>
      </c>
      <c r="B5061" t="s">
        <v>175</v>
      </c>
    </row>
    <row r="5062" spans="1:2" x14ac:dyDescent="0.3">
      <c r="A5062" t="s">
        <v>4352</v>
      </c>
      <c r="B5062" t="s">
        <v>896</v>
      </c>
    </row>
    <row r="5063" spans="1:2" x14ac:dyDescent="0.3">
      <c r="A5063" t="s">
        <v>4353</v>
      </c>
      <c r="B5063" t="s">
        <v>896</v>
      </c>
    </row>
    <row r="5064" spans="1:2" x14ac:dyDescent="0.3">
      <c r="A5064" t="s">
        <v>2644</v>
      </c>
      <c r="B5064" t="s">
        <v>896</v>
      </c>
    </row>
    <row r="5065" spans="1:2" x14ac:dyDescent="0.3">
      <c r="A5065" t="s">
        <v>4354</v>
      </c>
      <c r="B5065" t="s">
        <v>896</v>
      </c>
    </row>
    <row r="5066" spans="1:2" x14ac:dyDescent="0.3">
      <c r="A5066" t="s">
        <v>4355</v>
      </c>
      <c r="B5066" t="s">
        <v>896</v>
      </c>
    </row>
    <row r="5067" spans="1:2" x14ac:dyDescent="0.3">
      <c r="A5067" t="s">
        <v>4356</v>
      </c>
      <c r="B5067" t="s">
        <v>896</v>
      </c>
    </row>
    <row r="5068" spans="1:2" x14ac:dyDescent="0.3">
      <c r="A5068" t="s">
        <v>4357</v>
      </c>
      <c r="B5068" t="s">
        <v>896</v>
      </c>
    </row>
    <row r="5069" spans="1:2" x14ac:dyDescent="0.3">
      <c r="A5069" t="s">
        <v>4358</v>
      </c>
      <c r="B5069" t="s">
        <v>896</v>
      </c>
    </row>
    <row r="5070" spans="1:2" x14ac:dyDescent="0.3">
      <c r="A5070" t="s">
        <v>4359</v>
      </c>
      <c r="B5070" t="s">
        <v>896</v>
      </c>
    </row>
    <row r="5071" spans="1:2" x14ac:dyDescent="0.3">
      <c r="A5071" t="s">
        <v>4360</v>
      </c>
      <c r="B5071" t="s">
        <v>896</v>
      </c>
    </row>
    <row r="5072" spans="1:2" x14ac:dyDescent="0.3">
      <c r="A5072" t="s">
        <v>4361</v>
      </c>
      <c r="B5072" t="s">
        <v>896</v>
      </c>
    </row>
    <row r="5073" spans="1:2" x14ac:dyDescent="0.3">
      <c r="A5073" t="s">
        <v>4362</v>
      </c>
      <c r="B5073" t="s">
        <v>896</v>
      </c>
    </row>
    <row r="5074" spans="1:2" x14ac:dyDescent="0.3">
      <c r="A5074" t="s">
        <v>4363</v>
      </c>
      <c r="B5074" t="s">
        <v>896</v>
      </c>
    </row>
    <row r="5075" spans="1:2" x14ac:dyDescent="0.3">
      <c r="A5075" t="s">
        <v>4364</v>
      </c>
      <c r="B5075" t="s">
        <v>896</v>
      </c>
    </row>
    <row r="5076" spans="1:2" x14ac:dyDescent="0.3">
      <c r="A5076" t="s">
        <v>4365</v>
      </c>
      <c r="B5076" t="s">
        <v>896</v>
      </c>
    </row>
    <row r="5077" spans="1:2" x14ac:dyDescent="0.3">
      <c r="A5077" t="s">
        <v>4366</v>
      </c>
      <c r="B5077" t="s">
        <v>896</v>
      </c>
    </row>
    <row r="5078" spans="1:2" x14ac:dyDescent="0.3">
      <c r="A5078" t="s">
        <v>4367</v>
      </c>
      <c r="B5078" t="s">
        <v>169</v>
      </c>
    </row>
    <row r="5079" spans="1:2" x14ac:dyDescent="0.3">
      <c r="A5079" t="s">
        <v>4368</v>
      </c>
      <c r="B5079" t="s">
        <v>169</v>
      </c>
    </row>
    <row r="5080" spans="1:2" x14ac:dyDescent="0.3">
      <c r="A5080" t="s">
        <v>4369</v>
      </c>
      <c r="B5080" t="s">
        <v>169</v>
      </c>
    </row>
    <row r="5081" spans="1:2" x14ac:dyDescent="0.3">
      <c r="A5081" t="s">
        <v>4370</v>
      </c>
      <c r="B5081" t="s">
        <v>169</v>
      </c>
    </row>
    <row r="5082" spans="1:2" x14ac:dyDescent="0.3">
      <c r="A5082" t="s">
        <v>4371</v>
      </c>
      <c r="B5082" t="s">
        <v>169</v>
      </c>
    </row>
    <row r="5083" spans="1:2" x14ac:dyDescent="0.3">
      <c r="A5083" t="s">
        <v>4372</v>
      </c>
      <c r="B5083" t="s">
        <v>169</v>
      </c>
    </row>
    <row r="5084" spans="1:2" x14ac:dyDescent="0.3">
      <c r="A5084" t="s">
        <v>4373</v>
      </c>
      <c r="B5084" t="s">
        <v>169</v>
      </c>
    </row>
    <row r="5085" spans="1:2" x14ac:dyDescent="0.3">
      <c r="A5085" t="s">
        <v>4374</v>
      </c>
      <c r="B5085" t="s">
        <v>169</v>
      </c>
    </row>
    <row r="5086" spans="1:2" x14ac:dyDescent="0.3">
      <c r="A5086" t="s">
        <v>4375</v>
      </c>
      <c r="B5086" t="s">
        <v>169</v>
      </c>
    </row>
    <row r="5087" spans="1:2" x14ac:dyDescent="0.3">
      <c r="A5087" t="s">
        <v>4376</v>
      </c>
      <c r="B5087" t="s">
        <v>169</v>
      </c>
    </row>
    <row r="5088" spans="1:2" x14ac:dyDescent="0.3">
      <c r="A5088" t="s">
        <v>4377</v>
      </c>
      <c r="B5088" t="s">
        <v>169</v>
      </c>
    </row>
    <row r="5089" spans="1:2" x14ac:dyDescent="0.3">
      <c r="A5089" t="s">
        <v>4378</v>
      </c>
      <c r="B5089" t="s">
        <v>201</v>
      </c>
    </row>
    <row r="5090" spans="1:2" x14ac:dyDescent="0.3">
      <c r="A5090" t="s">
        <v>4379</v>
      </c>
      <c r="B5090" t="s">
        <v>201</v>
      </c>
    </row>
    <row r="5091" spans="1:2" x14ac:dyDescent="0.3">
      <c r="A5091" t="s">
        <v>4380</v>
      </c>
      <c r="B5091" t="s">
        <v>201</v>
      </c>
    </row>
    <row r="5092" spans="1:2" x14ac:dyDescent="0.3">
      <c r="A5092" t="s">
        <v>4381</v>
      </c>
      <c r="B5092" t="s">
        <v>201</v>
      </c>
    </row>
    <row r="5093" spans="1:2" x14ac:dyDescent="0.3">
      <c r="A5093" t="s">
        <v>4382</v>
      </c>
      <c r="B5093" t="s">
        <v>201</v>
      </c>
    </row>
    <row r="5094" spans="1:2" x14ac:dyDescent="0.3">
      <c r="A5094" t="s">
        <v>4383</v>
      </c>
      <c r="B5094" t="s">
        <v>201</v>
      </c>
    </row>
    <row r="5095" spans="1:2" x14ac:dyDescent="0.3">
      <c r="A5095" t="s">
        <v>4384</v>
      </c>
      <c r="B5095" t="s">
        <v>201</v>
      </c>
    </row>
    <row r="5096" spans="1:2" x14ac:dyDescent="0.3">
      <c r="A5096" t="s">
        <v>4385</v>
      </c>
      <c r="B5096" t="s">
        <v>201</v>
      </c>
    </row>
    <row r="5097" spans="1:2" x14ac:dyDescent="0.3">
      <c r="A5097" t="s">
        <v>4386</v>
      </c>
      <c r="B5097" t="s">
        <v>201</v>
      </c>
    </row>
    <row r="5098" spans="1:2" x14ac:dyDescent="0.3">
      <c r="A5098" t="s">
        <v>4387</v>
      </c>
      <c r="B5098" t="s">
        <v>169</v>
      </c>
    </row>
    <row r="5099" spans="1:2" x14ac:dyDescent="0.3">
      <c r="A5099" t="s">
        <v>4388</v>
      </c>
      <c r="B5099" t="s">
        <v>169</v>
      </c>
    </row>
    <row r="5100" spans="1:2" x14ac:dyDescent="0.3">
      <c r="A5100" t="s">
        <v>4389</v>
      </c>
      <c r="B5100" t="s">
        <v>169</v>
      </c>
    </row>
    <row r="5101" spans="1:2" x14ac:dyDescent="0.3">
      <c r="A5101" t="s">
        <v>4390</v>
      </c>
      <c r="B5101" t="s">
        <v>169</v>
      </c>
    </row>
    <row r="5102" spans="1:2" x14ac:dyDescent="0.3">
      <c r="A5102" t="s">
        <v>4391</v>
      </c>
      <c r="B5102" t="s">
        <v>169</v>
      </c>
    </row>
    <row r="5103" spans="1:2" x14ac:dyDescent="0.3">
      <c r="A5103" t="s">
        <v>4392</v>
      </c>
      <c r="B5103" t="s">
        <v>169</v>
      </c>
    </row>
    <row r="5104" spans="1:2" x14ac:dyDescent="0.3">
      <c r="A5104" t="s">
        <v>4393</v>
      </c>
      <c r="B5104" t="s">
        <v>169</v>
      </c>
    </row>
    <row r="5105" spans="1:2" x14ac:dyDescent="0.3">
      <c r="A5105" t="s">
        <v>4394</v>
      </c>
      <c r="B5105" t="s">
        <v>201</v>
      </c>
    </row>
    <row r="5106" spans="1:2" x14ac:dyDescent="0.3">
      <c r="A5106" t="s">
        <v>4395</v>
      </c>
      <c r="B5106" t="s">
        <v>169</v>
      </c>
    </row>
    <row r="5107" spans="1:2" x14ac:dyDescent="0.3">
      <c r="A5107" t="s">
        <v>4396</v>
      </c>
      <c r="B5107" t="s">
        <v>169</v>
      </c>
    </row>
    <row r="5108" spans="1:2" x14ac:dyDescent="0.3">
      <c r="A5108" t="s">
        <v>4397</v>
      </c>
      <c r="B5108" t="s">
        <v>169</v>
      </c>
    </row>
    <row r="5109" spans="1:2" x14ac:dyDescent="0.3">
      <c r="A5109" t="s">
        <v>4398</v>
      </c>
      <c r="B5109" t="s">
        <v>169</v>
      </c>
    </row>
    <row r="5110" spans="1:2" x14ac:dyDescent="0.3">
      <c r="A5110" t="s">
        <v>4399</v>
      </c>
      <c r="B5110" t="s">
        <v>171</v>
      </c>
    </row>
    <row r="5111" spans="1:2" x14ac:dyDescent="0.3">
      <c r="A5111" t="s">
        <v>4400</v>
      </c>
      <c r="B5111" t="s">
        <v>171</v>
      </c>
    </row>
    <row r="5112" spans="1:2" x14ac:dyDescent="0.3">
      <c r="A5112" t="s">
        <v>4401</v>
      </c>
      <c r="B5112" t="s">
        <v>171</v>
      </c>
    </row>
    <row r="5113" spans="1:2" x14ac:dyDescent="0.3">
      <c r="A5113" t="s">
        <v>4402</v>
      </c>
      <c r="B5113" t="s">
        <v>171</v>
      </c>
    </row>
    <row r="5114" spans="1:2" x14ac:dyDescent="0.3">
      <c r="A5114" t="s">
        <v>4403</v>
      </c>
      <c r="B5114" t="s">
        <v>171</v>
      </c>
    </row>
    <row r="5115" spans="1:2" x14ac:dyDescent="0.3">
      <c r="A5115" t="s">
        <v>4404</v>
      </c>
      <c r="B5115" t="s">
        <v>171</v>
      </c>
    </row>
    <row r="5116" spans="1:2" x14ac:dyDescent="0.3">
      <c r="A5116" t="s">
        <v>4405</v>
      </c>
      <c r="B5116" t="s">
        <v>171</v>
      </c>
    </row>
    <row r="5117" spans="1:2" x14ac:dyDescent="0.3">
      <c r="A5117" t="s">
        <v>1632</v>
      </c>
      <c r="B5117" t="s">
        <v>171</v>
      </c>
    </row>
    <row r="5118" spans="1:2" x14ac:dyDescent="0.3">
      <c r="A5118" t="s">
        <v>4406</v>
      </c>
      <c r="B5118" t="s">
        <v>171</v>
      </c>
    </row>
    <row r="5119" spans="1:2" x14ac:dyDescent="0.3">
      <c r="A5119" t="s">
        <v>4407</v>
      </c>
      <c r="B5119" t="s">
        <v>171</v>
      </c>
    </row>
    <row r="5120" spans="1:2" x14ac:dyDescent="0.3">
      <c r="A5120" t="s">
        <v>4408</v>
      </c>
      <c r="B5120" t="s">
        <v>171</v>
      </c>
    </row>
    <row r="5121" spans="1:2" x14ac:dyDescent="0.3">
      <c r="A5121" t="s">
        <v>4409</v>
      </c>
      <c r="B5121" t="s">
        <v>171</v>
      </c>
    </row>
    <row r="5122" spans="1:2" x14ac:dyDescent="0.3">
      <c r="A5122" t="s">
        <v>4410</v>
      </c>
      <c r="B5122" t="s">
        <v>171</v>
      </c>
    </row>
    <row r="5123" spans="1:2" x14ac:dyDescent="0.3">
      <c r="A5123" t="s">
        <v>4411</v>
      </c>
      <c r="B5123" t="s">
        <v>171</v>
      </c>
    </row>
    <row r="5124" spans="1:2" x14ac:dyDescent="0.3">
      <c r="A5124" t="s">
        <v>260</v>
      </c>
      <c r="B5124" t="s">
        <v>171</v>
      </c>
    </row>
    <row r="5125" spans="1:2" x14ac:dyDescent="0.3">
      <c r="A5125" t="s">
        <v>4412</v>
      </c>
      <c r="B5125" t="s">
        <v>171</v>
      </c>
    </row>
    <row r="5126" spans="1:2" x14ac:dyDescent="0.3">
      <c r="A5126" t="s">
        <v>4413</v>
      </c>
      <c r="B5126" t="s">
        <v>171</v>
      </c>
    </row>
    <row r="5127" spans="1:2" x14ac:dyDescent="0.3">
      <c r="A5127" t="s">
        <v>4414</v>
      </c>
      <c r="B5127" t="s">
        <v>171</v>
      </c>
    </row>
    <row r="5128" spans="1:2" x14ac:dyDescent="0.3">
      <c r="A5128" t="s">
        <v>4415</v>
      </c>
      <c r="B5128" t="s">
        <v>171</v>
      </c>
    </row>
    <row r="5129" spans="1:2" x14ac:dyDescent="0.3">
      <c r="A5129" t="s">
        <v>4416</v>
      </c>
      <c r="B5129" t="s">
        <v>171</v>
      </c>
    </row>
    <row r="5130" spans="1:2" x14ac:dyDescent="0.3">
      <c r="A5130" t="s">
        <v>4417</v>
      </c>
      <c r="B5130" t="s">
        <v>171</v>
      </c>
    </row>
    <row r="5131" spans="1:2" x14ac:dyDescent="0.3">
      <c r="A5131" t="s">
        <v>4418</v>
      </c>
      <c r="B5131" t="s">
        <v>171</v>
      </c>
    </row>
    <row r="5132" spans="1:2" x14ac:dyDescent="0.3">
      <c r="A5132" t="s">
        <v>4419</v>
      </c>
      <c r="B5132" t="s">
        <v>171</v>
      </c>
    </row>
    <row r="5133" spans="1:2" x14ac:dyDescent="0.3">
      <c r="A5133" t="s">
        <v>4420</v>
      </c>
      <c r="B5133" t="s">
        <v>171</v>
      </c>
    </row>
    <row r="5134" spans="1:2" x14ac:dyDescent="0.3">
      <c r="A5134" t="s">
        <v>4421</v>
      </c>
      <c r="B5134" t="s">
        <v>171</v>
      </c>
    </row>
    <row r="5135" spans="1:2" x14ac:dyDescent="0.3">
      <c r="A5135" t="s">
        <v>4422</v>
      </c>
      <c r="B5135" t="s">
        <v>171</v>
      </c>
    </row>
    <row r="5136" spans="1:2" x14ac:dyDescent="0.3">
      <c r="A5136" t="s">
        <v>4423</v>
      </c>
      <c r="B5136" t="s">
        <v>171</v>
      </c>
    </row>
    <row r="5137" spans="1:2" x14ac:dyDescent="0.3">
      <c r="A5137" t="s">
        <v>4424</v>
      </c>
      <c r="B5137" t="s">
        <v>171</v>
      </c>
    </row>
    <row r="5138" spans="1:2" x14ac:dyDescent="0.3">
      <c r="A5138" t="s">
        <v>4425</v>
      </c>
      <c r="B5138" t="s">
        <v>171</v>
      </c>
    </row>
    <row r="5139" spans="1:2" x14ac:dyDescent="0.3">
      <c r="A5139" t="s">
        <v>4426</v>
      </c>
      <c r="B5139" t="s">
        <v>171</v>
      </c>
    </row>
    <row r="5140" spans="1:2" x14ac:dyDescent="0.3">
      <c r="A5140" t="s">
        <v>4427</v>
      </c>
      <c r="B5140" t="s">
        <v>171</v>
      </c>
    </row>
    <row r="5141" spans="1:2" x14ac:dyDescent="0.3">
      <c r="A5141" t="s">
        <v>4428</v>
      </c>
      <c r="B5141" t="s">
        <v>171</v>
      </c>
    </row>
    <row r="5142" spans="1:2" x14ac:dyDescent="0.3">
      <c r="A5142" t="s">
        <v>4429</v>
      </c>
      <c r="B5142" t="s">
        <v>171</v>
      </c>
    </row>
    <row r="5143" spans="1:2" x14ac:dyDescent="0.3">
      <c r="A5143" t="s">
        <v>4430</v>
      </c>
      <c r="B5143" t="s">
        <v>171</v>
      </c>
    </row>
    <row r="5144" spans="1:2" x14ac:dyDescent="0.3">
      <c r="A5144" t="s">
        <v>4431</v>
      </c>
      <c r="B5144" t="s">
        <v>171</v>
      </c>
    </row>
    <row r="5145" spans="1:2" x14ac:dyDescent="0.3">
      <c r="A5145" t="s">
        <v>4432</v>
      </c>
      <c r="B5145" t="s">
        <v>171</v>
      </c>
    </row>
    <row r="5146" spans="1:2" x14ac:dyDescent="0.3">
      <c r="A5146" t="s">
        <v>4433</v>
      </c>
      <c r="B5146" t="s">
        <v>171</v>
      </c>
    </row>
    <row r="5147" spans="1:2" x14ac:dyDescent="0.3">
      <c r="A5147" t="s">
        <v>4434</v>
      </c>
      <c r="B5147" t="s">
        <v>171</v>
      </c>
    </row>
    <row r="5148" spans="1:2" x14ac:dyDescent="0.3">
      <c r="A5148" t="s">
        <v>4435</v>
      </c>
      <c r="B5148" t="s">
        <v>171</v>
      </c>
    </row>
    <row r="5149" spans="1:2" x14ac:dyDescent="0.3">
      <c r="A5149" t="s">
        <v>4436</v>
      </c>
      <c r="B5149" t="s">
        <v>171</v>
      </c>
    </row>
    <row r="5150" spans="1:2" x14ac:dyDescent="0.3">
      <c r="A5150" t="s">
        <v>4437</v>
      </c>
      <c r="B5150" t="s">
        <v>171</v>
      </c>
    </row>
    <row r="5151" spans="1:2" x14ac:dyDescent="0.3">
      <c r="A5151" t="s">
        <v>4438</v>
      </c>
      <c r="B5151" t="s">
        <v>171</v>
      </c>
    </row>
    <row r="5152" spans="1:2" x14ac:dyDescent="0.3">
      <c r="A5152" t="s">
        <v>4439</v>
      </c>
      <c r="B5152" t="s">
        <v>171</v>
      </c>
    </row>
    <row r="5153" spans="1:2" x14ac:dyDescent="0.3">
      <c r="A5153" t="s">
        <v>4440</v>
      </c>
      <c r="B5153" t="s">
        <v>171</v>
      </c>
    </row>
    <row r="5154" spans="1:2" x14ac:dyDescent="0.3">
      <c r="A5154" t="s">
        <v>4441</v>
      </c>
      <c r="B5154" t="s">
        <v>171</v>
      </c>
    </row>
    <row r="5155" spans="1:2" x14ac:dyDescent="0.3">
      <c r="A5155" t="s">
        <v>4442</v>
      </c>
      <c r="B5155" t="s">
        <v>171</v>
      </c>
    </row>
    <row r="5156" spans="1:2" x14ac:dyDescent="0.3">
      <c r="A5156" t="s">
        <v>4443</v>
      </c>
      <c r="B5156" t="s">
        <v>171</v>
      </c>
    </row>
    <row r="5157" spans="1:2" x14ac:dyDescent="0.3">
      <c r="A5157" t="s">
        <v>4444</v>
      </c>
      <c r="B5157" t="s">
        <v>171</v>
      </c>
    </row>
    <row r="5158" spans="1:2" x14ac:dyDescent="0.3">
      <c r="A5158" t="s">
        <v>4445</v>
      </c>
      <c r="B5158" t="s">
        <v>171</v>
      </c>
    </row>
    <row r="5159" spans="1:2" x14ac:dyDescent="0.3">
      <c r="A5159" t="s">
        <v>4446</v>
      </c>
      <c r="B5159" t="s">
        <v>171</v>
      </c>
    </row>
    <row r="5160" spans="1:2" x14ac:dyDescent="0.3">
      <c r="A5160" t="s">
        <v>4447</v>
      </c>
      <c r="B5160" t="s">
        <v>171</v>
      </c>
    </row>
    <row r="5161" spans="1:2" x14ac:dyDescent="0.3">
      <c r="A5161" t="s">
        <v>4448</v>
      </c>
      <c r="B5161" t="s">
        <v>171</v>
      </c>
    </row>
    <row r="5162" spans="1:2" x14ac:dyDescent="0.3">
      <c r="A5162" t="s">
        <v>4449</v>
      </c>
      <c r="B5162" t="s">
        <v>171</v>
      </c>
    </row>
    <row r="5163" spans="1:2" x14ac:dyDescent="0.3">
      <c r="A5163" t="s">
        <v>4450</v>
      </c>
      <c r="B5163" t="s">
        <v>171</v>
      </c>
    </row>
    <row r="5164" spans="1:2" x14ac:dyDescent="0.3">
      <c r="A5164" t="s">
        <v>4451</v>
      </c>
      <c r="B5164" t="s">
        <v>171</v>
      </c>
    </row>
    <row r="5165" spans="1:2" x14ac:dyDescent="0.3">
      <c r="A5165" t="s">
        <v>4452</v>
      </c>
      <c r="B5165" t="s">
        <v>171</v>
      </c>
    </row>
    <row r="5166" spans="1:2" x14ac:dyDescent="0.3">
      <c r="A5166" t="s">
        <v>4453</v>
      </c>
      <c r="B5166" t="s">
        <v>171</v>
      </c>
    </row>
    <row r="5167" spans="1:2" x14ac:dyDescent="0.3">
      <c r="A5167" t="s">
        <v>4454</v>
      </c>
      <c r="B5167" t="s">
        <v>171</v>
      </c>
    </row>
    <row r="5168" spans="1:2" x14ac:dyDescent="0.3">
      <c r="A5168" t="s">
        <v>4455</v>
      </c>
      <c r="B5168" t="s">
        <v>171</v>
      </c>
    </row>
    <row r="5169" spans="1:2" x14ac:dyDescent="0.3">
      <c r="A5169" t="s">
        <v>4456</v>
      </c>
      <c r="B5169" t="s">
        <v>171</v>
      </c>
    </row>
    <row r="5170" spans="1:2" x14ac:dyDescent="0.3">
      <c r="A5170" t="s">
        <v>4457</v>
      </c>
      <c r="B5170" t="s">
        <v>171</v>
      </c>
    </row>
    <row r="5171" spans="1:2" x14ac:dyDescent="0.3">
      <c r="A5171" t="s">
        <v>2670</v>
      </c>
      <c r="B5171" t="s">
        <v>171</v>
      </c>
    </row>
    <row r="5172" spans="1:2" x14ac:dyDescent="0.3">
      <c r="A5172" t="s">
        <v>4458</v>
      </c>
      <c r="B5172" t="s">
        <v>171</v>
      </c>
    </row>
    <row r="5173" spans="1:2" x14ac:dyDescent="0.3">
      <c r="A5173" t="s">
        <v>4459</v>
      </c>
      <c r="B5173" t="s">
        <v>171</v>
      </c>
    </row>
    <row r="5174" spans="1:2" x14ac:dyDescent="0.3">
      <c r="A5174" t="s">
        <v>4460</v>
      </c>
      <c r="B5174" t="s">
        <v>171</v>
      </c>
    </row>
    <row r="5175" spans="1:2" x14ac:dyDescent="0.3">
      <c r="A5175" t="s">
        <v>4461</v>
      </c>
      <c r="B5175" t="s">
        <v>171</v>
      </c>
    </row>
    <row r="5176" spans="1:2" x14ac:dyDescent="0.3">
      <c r="A5176" t="s">
        <v>4462</v>
      </c>
      <c r="B5176" t="s">
        <v>171</v>
      </c>
    </row>
    <row r="5177" spans="1:2" x14ac:dyDescent="0.3">
      <c r="A5177" t="s">
        <v>4463</v>
      </c>
      <c r="B5177" t="s">
        <v>171</v>
      </c>
    </row>
    <row r="5178" spans="1:2" x14ac:dyDescent="0.3">
      <c r="A5178" t="s">
        <v>4464</v>
      </c>
      <c r="B5178" t="s">
        <v>171</v>
      </c>
    </row>
    <row r="5179" spans="1:2" x14ac:dyDescent="0.3">
      <c r="A5179" t="s">
        <v>4465</v>
      </c>
      <c r="B5179" t="s">
        <v>171</v>
      </c>
    </row>
    <row r="5180" spans="1:2" x14ac:dyDescent="0.3">
      <c r="A5180" t="s">
        <v>4466</v>
      </c>
      <c r="B5180" t="s">
        <v>171</v>
      </c>
    </row>
    <row r="5181" spans="1:2" x14ac:dyDescent="0.3">
      <c r="A5181" t="s">
        <v>4467</v>
      </c>
      <c r="B5181" t="s">
        <v>171</v>
      </c>
    </row>
    <row r="5182" spans="1:2" x14ac:dyDescent="0.3">
      <c r="A5182" t="s">
        <v>4468</v>
      </c>
      <c r="B5182" t="s">
        <v>171</v>
      </c>
    </row>
    <row r="5183" spans="1:2" x14ac:dyDescent="0.3">
      <c r="A5183" t="s">
        <v>4469</v>
      </c>
      <c r="B5183" t="s">
        <v>171</v>
      </c>
    </row>
    <row r="5184" spans="1:2" x14ac:dyDescent="0.3">
      <c r="A5184" t="s">
        <v>4470</v>
      </c>
      <c r="B5184" t="s">
        <v>171</v>
      </c>
    </row>
    <row r="5185" spans="1:2" x14ac:dyDescent="0.3">
      <c r="A5185" t="s">
        <v>4471</v>
      </c>
      <c r="B5185" t="s">
        <v>171</v>
      </c>
    </row>
    <row r="5186" spans="1:2" x14ac:dyDescent="0.3">
      <c r="A5186" t="s">
        <v>4472</v>
      </c>
      <c r="B5186" t="s">
        <v>171</v>
      </c>
    </row>
    <row r="5187" spans="1:2" x14ac:dyDescent="0.3">
      <c r="A5187" t="s">
        <v>4473</v>
      </c>
      <c r="B5187" t="s">
        <v>171</v>
      </c>
    </row>
    <row r="5188" spans="1:2" x14ac:dyDescent="0.3">
      <c r="A5188" t="s">
        <v>4474</v>
      </c>
      <c r="B5188" t="s">
        <v>171</v>
      </c>
    </row>
    <row r="5189" spans="1:2" x14ac:dyDescent="0.3">
      <c r="A5189" t="s">
        <v>4475</v>
      </c>
      <c r="B5189" t="s">
        <v>171</v>
      </c>
    </row>
    <row r="5190" spans="1:2" x14ac:dyDescent="0.3">
      <c r="A5190" t="s">
        <v>4476</v>
      </c>
      <c r="B5190" t="s">
        <v>4476</v>
      </c>
    </row>
    <row r="5191" spans="1:2" x14ac:dyDescent="0.3">
      <c r="A5191" t="s">
        <v>4477</v>
      </c>
      <c r="B5191" t="s">
        <v>171</v>
      </c>
    </row>
    <row r="5192" spans="1:2" x14ac:dyDescent="0.3">
      <c r="A5192" t="s">
        <v>4478</v>
      </c>
      <c r="B5192" t="s">
        <v>171</v>
      </c>
    </row>
    <row r="5193" spans="1:2" x14ac:dyDescent="0.3">
      <c r="A5193" t="s">
        <v>4479</v>
      </c>
      <c r="B5193" t="s">
        <v>171</v>
      </c>
    </row>
    <row r="5194" spans="1:2" x14ac:dyDescent="0.3">
      <c r="A5194" t="s">
        <v>4480</v>
      </c>
      <c r="B5194" t="s">
        <v>171</v>
      </c>
    </row>
    <row r="5195" spans="1:2" x14ac:dyDescent="0.3">
      <c r="A5195" t="s">
        <v>4481</v>
      </c>
      <c r="B5195" t="s">
        <v>171</v>
      </c>
    </row>
    <row r="5196" spans="1:2" x14ac:dyDescent="0.3">
      <c r="A5196" t="s">
        <v>4482</v>
      </c>
      <c r="B5196" t="s">
        <v>171</v>
      </c>
    </row>
    <row r="5197" spans="1:2" x14ac:dyDescent="0.3">
      <c r="A5197" t="s">
        <v>4483</v>
      </c>
      <c r="B5197" t="s">
        <v>171</v>
      </c>
    </row>
    <row r="5198" spans="1:2" x14ac:dyDescent="0.3">
      <c r="A5198" t="s">
        <v>4484</v>
      </c>
      <c r="B5198" t="s">
        <v>171</v>
      </c>
    </row>
    <row r="5199" spans="1:2" x14ac:dyDescent="0.3">
      <c r="A5199" t="s">
        <v>4485</v>
      </c>
      <c r="B5199" t="s">
        <v>171</v>
      </c>
    </row>
    <row r="5200" spans="1:2" x14ac:dyDescent="0.3">
      <c r="A5200" t="s">
        <v>4486</v>
      </c>
      <c r="B5200" t="s">
        <v>171</v>
      </c>
    </row>
    <row r="5201" spans="1:2" x14ac:dyDescent="0.3">
      <c r="A5201" t="s">
        <v>4487</v>
      </c>
      <c r="B5201" t="s">
        <v>171</v>
      </c>
    </row>
    <row r="5202" spans="1:2" x14ac:dyDescent="0.3">
      <c r="A5202" t="s">
        <v>4488</v>
      </c>
      <c r="B5202" t="s">
        <v>171</v>
      </c>
    </row>
    <row r="5203" spans="1:2" x14ac:dyDescent="0.3">
      <c r="A5203" t="s">
        <v>4489</v>
      </c>
      <c r="B5203" t="s">
        <v>171</v>
      </c>
    </row>
    <row r="5204" spans="1:2" x14ac:dyDescent="0.3">
      <c r="A5204" t="s">
        <v>4490</v>
      </c>
      <c r="B5204" t="s">
        <v>171</v>
      </c>
    </row>
    <row r="5205" spans="1:2" x14ac:dyDescent="0.3">
      <c r="A5205" t="s">
        <v>1523</v>
      </c>
      <c r="B5205" t="s">
        <v>171</v>
      </c>
    </row>
    <row r="5206" spans="1:2" x14ac:dyDescent="0.3">
      <c r="A5206" t="s">
        <v>4491</v>
      </c>
      <c r="B5206" t="s">
        <v>171</v>
      </c>
    </row>
    <row r="5207" spans="1:2" x14ac:dyDescent="0.3">
      <c r="A5207" t="s">
        <v>4492</v>
      </c>
      <c r="B5207" t="s">
        <v>171</v>
      </c>
    </row>
    <row r="5208" spans="1:2" x14ac:dyDescent="0.3">
      <c r="A5208" t="s">
        <v>4493</v>
      </c>
      <c r="B5208" t="s">
        <v>171</v>
      </c>
    </row>
    <row r="5209" spans="1:2" x14ac:dyDescent="0.3">
      <c r="A5209" t="s">
        <v>4494</v>
      </c>
      <c r="B5209" t="s">
        <v>171</v>
      </c>
    </row>
    <row r="5210" spans="1:2" x14ac:dyDescent="0.3">
      <c r="A5210" t="s">
        <v>4495</v>
      </c>
      <c r="B5210" t="s">
        <v>171</v>
      </c>
    </row>
    <row r="5211" spans="1:2" x14ac:dyDescent="0.3">
      <c r="A5211" t="s">
        <v>4496</v>
      </c>
      <c r="B5211" t="s">
        <v>171</v>
      </c>
    </row>
    <row r="5212" spans="1:2" x14ac:dyDescent="0.3">
      <c r="A5212" t="s">
        <v>4497</v>
      </c>
      <c r="B5212" t="s">
        <v>171</v>
      </c>
    </row>
    <row r="5213" spans="1:2" x14ac:dyDescent="0.3">
      <c r="A5213" t="s">
        <v>4498</v>
      </c>
      <c r="B5213" t="s">
        <v>171</v>
      </c>
    </row>
    <row r="5214" spans="1:2" x14ac:dyDescent="0.3">
      <c r="A5214" t="s">
        <v>4499</v>
      </c>
      <c r="B5214" t="s">
        <v>171</v>
      </c>
    </row>
    <row r="5215" spans="1:2" x14ac:dyDescent="0.3">
      <c r="A5215" t="s">
        <v>4500</v>
      </c>
      <c r="B5215" t="s">
        <v>171</v>
      </c>
    </row>
    <row r="5216" spans="1:2" x14ac:dyDescent="0.3">
      <c r="A5216" t="s">
        <v>4501</v>
      </c>
      <c r="B5216" t="s">
        <v>176</v>
      </c>
    </row>
    <row r="5217" spans="1:2" x14ac:dyDescent="0.3">
      <c r="A5217" t="s">
        <v>4502</v>
      </c>
      <c r="B5217" t="s">
        <v>176</v>
      </c>
    </row>
    <row r="5218" spans="1:2" x14ac:dyDescent="0.3">
      <c r="A5218" t="s">
        <v>4503</v>
      </c>
      <c r="B5218" t="s">
        <v>176</v>
      </c>
    </row>
    <row r="5219" spans="1:2" x14ac:dyDescent="0.3">
      <c r="A5219" t="s">
        <v>93</v>
      </c>
      <c r="B5219" t="s">
        <v>176</v>
      </c>
    </row>
    <row r="5220" spans="1:2" x14ac:dyDescent="0.3">
      <c r="A5220" t="s">
        <v>4504</v>
      </c>
      <c r="B5220" t="s">
        <v>176</v>
      </c>
    </row>
    <row r="5221" spans="1:2" x14ac:dyDescent="0.3">
      <c r="A5221" t="s">
        <v>4505</v>
      </c>
      <c r="B5221" t="s">
        <v>176</v>
      </c>
    </row>
    <row r="5222" spans="1:2" x14ac:dyDescent="0.3">
      <c r="A5222" t="s">
        <v>4506</v>
      </c>
      <c r="B5222" t="s">
        <v>176</v>
      </c>
    </row>
    <row r="5223" spans="1:2" x14ac:dyDescent="0.3">
      <c r="A5223" t="s">
        <v>562</v>
      </c>
      <c r="B5223" t="s">
        <v>176</v>
      </c>
    </row>
    <row r="5224" spans="1:2" x14ac:dyDescent="0.3">
      <c r="A5224" t="s">
        <v>4507</v>
      </c>
      <c r="B5224" t="s">
        <v>176</v>
      </c>
    </row>
    <row r="5225" spans="1:2" x14ac:dyDescent="0.3">
      <c r="A5225" t="s">
        <v>4508</v>
      </c>
      <c r="B5225" t="s">
        <v>176</v>
      </c>
    </row>
    <row r="5226" spans="1:2" x14ac:dyDescent="0.3">
      <c r="A5226" t="s">
        <v>4509</v>
      </c>
      <c r="B5226" t="s">
        <v>176</v>
      </c>
    </row>
    <row r="5227" spans="1:2" x14ac:dyDescent="0.3">
      <c r="A5227" t="s">
        <v>4510</v>
      </c>
      <c r="B5227" t="s">
        <v>176</v>
      </c>
    </row>
    <row r="5228" spans="1:2" x14ac:dyDescent="0.3">
      <c r="A5228" t="s">
        <v>4511</v>
      </c>
      <c r="B5228" t="s">
        <v>176</v>
      </c>
    </row>
    <row r="5229" spans="1:2" x14ac:dyDescent="0.3">
      <c r="A5229" t="s">
        <v>4512</v>
      </c>
      <c r="B5229" t="s">
        <v>176</v>
      </c>
    </row>
    <row r="5230" spans="1:2" x14ac:dyDescent="0.3">
      <c r="A5230" t="s">
        <v>4513</v>
      </c>
      <c r="B5230" t="s">
        <v>176</v>
      </c>
    </row>
    <row r="5231" spans="1:2" x14ac:dyDescent="0.3">
      <c r="A5231" t="s">
        <v>4514</v>
      </c>
      <c r="B5231" t="s">
        <v>176</v>
      </c>
    </row>
    <row r="5232" spans="1:2" x14ac:dyDescent="0.3">
      <c r="A5232" t="s">
        <v>4515</v>
      </c>
      <c r="B5232" t="s">
        <v>176</v>
      </c>
    </row>
    <row r="5233" spans="1:2" x14ac:dyDescent="0.3">
      <c r="A5233" t="s">
        <v>4516</v>
      </c>
      <c r="B5233" t="s">
        <v>176</v>
      </c>
    </row>
    <row r="5234" spans="1:2" x14ac:dyDescent="0.3">
      <c r="A5234" t="s">
        <v>4517</v>
      </c>
      <c r="B5234" t="s">
        <v>176</v>
      </c>
    </row>
    <row r="5235" spans="1:2" x14ac:dyDescent="0.3">
      <c r="A5235" t="s">
        <v>4518</v>
      </c>
      <c r="B5235" t="s">
        <v>176</v>
      </c>
    </row>
    <row r="5236" spans="1:2" x14ac:dyDescent="0.3">
      <c r="A5236" t="s">
        <v>4519</v>
      </c>
      <c r="B5236" t="s">
        <v>176</v>
      </c>
    </row>
    <row r="5237" spans="1:2" x14ac:dyDescent="0.3">
      <c r="A5237" t="s">
        <v>4520</v>
      </c>
      <c r="B5237" t="s">
        <v>176</v>
      </c>
    </row>
    <row r="5238" spans="1:2" x14ac:dyDescent="0.3">
      <c r="A5238" t="s">
        <v>4521</v>
      </c>
      <c r="B5238" t="s">
        <v>176</v>
      </c>
    </row>
    <row r="5239" spans="1:2" x14ac:dyDescent="0.3">
      <c r="A5239" t="s">
        <v>4522</v>
      </c>
      <c r="B5239" t="s">
        <v>176</v>
      </c>
    </row>
    <row r="5240" spans="1:2" x14ac:dyDescent="0.3">
      <c r="A5240" t="s">
        <v>4523</v>
      </c>
      <c r="B5240" t="s">
        <v>176</v>
      </c>
    </row>
    <row r="5241" spans="1:2" x14ac:dyDescent="0.3">
      <c r="A5241" t="s">
        <v>4524</v>
      </c>
      <c r="B5241" t="s">
        <v>176</v>
      </c>
    </row>
    <row r="5242" spans="1:2" x14ac:dyDescent="0.3">
      <c r="A5242" t="s">
        <v>4525</v>
      </c>
      <c r="B5242" t="s">
        <v>176</v>
      </c>
    </row>
    <row r="5243" spans="1:2" x14ac:dyDescent="0.3">
      <c r="A5243" t="s">
        <v>4526</v>
      </c>
      <c r="B5243" t="s">
        <v>176</v>
      </c>
    </row>
    <row r="5244" spans="1:2" x14ac:dyDescent="0.3">
      <c r="A5244" t="s">
        <v>4527</v>
      </c>
      <c r="B5244" t="s">
        <v>2670</v>
      </c>
    </row>
    <row r="5245" spans="1:2" x14ac:dyDescent="0.3">
      <c r="A5245" t="s">
        <v>4528</v>
      </c>
      <c r="B5245" t="s">
        <v>2670</v>
      </c>
    </row>
    <row r="5246" spans="1:2" x14ac:dyDescent="0.3">
      <c r="A5246" t="s">
        <v>4529</v>
      </c>
      <c r="B5246" t="s">
        <v>2670</v>
      </c>
    </row>
    <row r="5247" spans="1:2" x14ac:dyDescent="0.3">
      <c r="A5247" t="s">
        <v>4530</v>
      </c>
      <c r="B5247" t="s">
        <v>2670</v>
      </c>
    </row>
    <row r="5248" spans="1:2" x14ac:dyDescent="0.3">
      <c r="A5248" t="s">
        <v>4531</v>
      </c>
      <c r="B5248" t="s">
        <v>2670</v>
      </c>
    </row>
    <row r="5249" spans="1:2" x14ac:dyDescent="0.3">
      <c r="A5249" t="s">
        <v>4532</v>
      </c>
      <c r="B5249" t="s">
        <v>2670</v>
      </c>
    </row>
    <row r="5250" spans="1:2" x14ac:dyDescent="0.3">
      <c r="A5250" t="s">
        <v>4533</v>
      </c>
      <c r="B5250" t="s">
        <v>176</v>
      </c>
    </row>
    <row r="5251" spans="1:2" x14ac:dyDescent="0.3">
      <c r="A5251" t="s">
        <v>4534</v>
      </c>
      <c r="B5251" t="s">
        <v>176</v>
      </c>
    </row>
    <row r="5252" spans="1:2" x14ac:dyDescent="0.3">
      <c r="A5252" t="s">
        <v>4535</v>
      </c>
      <c r="B5252" t="s">
        <v>176</v>
      </c>
    </row>
    <row r="5253" spans="1:2" x14ac:dyDescent="0.3">
      <c r="A5253" t="s">
        <v>4536</v>
      </c>
      <c r="B5253" t="s">
        <v>176</v>
      </c>
    </row>
    <row r="5254" spans="1:2" x14ac:dyDescent="0.3">
      <c r="A5254" t="s">
        <v>4537</v>
      </c>
      <c r="B5254" t="s">
        <v>176</v>
      </c>
    </row>
    <row r="5255" spans="1:2" x14ac:dyDescent="0.3">
      <c r="A5255" t="s">
        <v>4538</v>
      </c>
      <c r="B5255" t="s">
        <v>176</v>
      </c>
    </row>
    <row r="5256" spans="1:2" x14ac:dyDescent="0.3">
      <c r="A5256" t="s">
        <v>4539</v>
      </c>
      <c r="B5256" t="s">
        <v>176</v>
      </c>
    </row>
    <row r="5257" spans="1:2" x14ac:dyDescent="0.3">
      <c r="A5257" t="s">
        <v>4540</v>
      </c>
      <c r="B5257" t="s">
        <v>176</v>
      </c>
    </row>
    <row r="5258" spans="1:2" x14ac:dyDescent="0.3">
      <c r="A5258" t="s">
        <v>4541</v>
      </c>
      <c r="B5258" t="s">
        <v>176</v>
      </c>
    </row>
    <row r="5259" spans="1:2" x14ac:dyDescent="0.3">
      <c r="A5259" t="s">
        <v>4542</v>
      </c>
      <c r="B5259" t="s">
        <v>176</v>
      </c>
    </row>
    <row r="5260" spans="1:2" x14ac:dyDescent="0.3">
      <c r="A5260" t="s">
        <v>4543</v>
      </c>
      <c r="B5260" t="s">
        <v>176</v>
      </c>
    </row>
    <row r="5261" spans="1:2" x14ac:dyDescent="0.3">
      <c r="A5261" t="s">
        <v>4544</v>
      </c>
      <c r="B5261" t="s">
        <v>176</v>
      </c>
    </row>
    <row r="5262" spans="1:2" x14ac:dyDescent="0.3">
      <c r="A5262" t="s">
        <v>4545</v>
      </c>
      <c r="B5262" t="s">
        <v>176</v>
      </c>
    </row>
    <row r="5263" spans="1:2" x14ac:dyDescent="0.3">
      <c r="A5263" t="s">
        <v>4546</v>
      </c>
      <c r="B5263" t="s">
        <v>176</v>
      </c>
    </row>
    <row r="5264" spans="1:2" x14ac:dyDescent="0.3">
      <c r="A5264" t="s">
        <v>4547</v>
      </c>
      <c r="B5264" t="s">
        <v>176</v>
      </c>
    </row>
    <row r="5265" spans="1:2" x14ac:dyDescent="0.3">
      <c r="A5265" t="s">
        <v>4548</v>
      </c>
      <c r="B5265" t="s">
        <v>176</v>
      </c>
    </row>
    <row r="5266" spans="1:2" x14ac:dyDescent="0.3">
      <c r="A5266" t="s">
        <v>4549</v>
      </c>
      <c r="B5266" t="s">
        <v>176</v>
      </c>
    </row>
    <row r="5267" spans="1:2" x14ac:dyDescent="0.3">
      <c r="A5267" t="s">
        <v>4550</v>
      </c>
      <c r="B5267" t="s">
        <v>176</v>
      </c>
    </row>
    <row r="5268" spans="1:2" x14ac:dyDescent="0.3">
      <c r="A5268" t="s">
        <v>4551</v>
      </c>
      <c r="B5268" t="s">
        <v>176</v>
      </c>
    </row>
    <row r="5269" spans="1:2" x14ac:dyDescent="0.3">
      <c r="A5269" t="s">
        <v>4552</v>
      </c>
      <c r="B5269" t="s">
        <v>176</v>
      </c>
    </row>
    <row r="5270" spans="1:2" x14ac:dyDescent="0.3">
      <c r="A5270" t="s">
        <v>4553</v>
      </c>
      <c r="B5270" t="s">
        <v>176</v>
      </c>
    </row>
    <row r="5271" spans="1:2" x14ac:dyDescent="0.3">
      <c r="A5271" t="s">
        <v>4554</v>
      </c>
      <c r="B5271" t="s">
        <v>176</v>
      </c>
    </row>
    <row r="5272" spans="1:2" x14ac:dyDescent="0.3">
      <c r="A5272" t="s">
        <v>4555</v>
      </c>
      <c r="B5272" t="s">
        <v>176</v>
      </c>
    </row>
    <row r="5273" spans="1:2" x14ac:dyDescent="0.3">
      <c r="A5273" t="s">
        <v>4556</v>
      </c>
      <c r="B5273" t="s">
        <v>176</v>
      </c>
    </row>
    <row r="5274" spans="1:2" x14ac:dyDescent="0.3">
      <c r="A5274" t="s">
        <v>4557</v>
      </c>
      <c r="B5274" t="s">
        <v>176</v>
      </c>
    </row>
    <row r="5275" spans="1:2" x14ac:dyDescent="0.3">
      <c r="A5275" t="s">
        <v>4558</v>
      </c>
      <c r="B5275" t="s">
        <v>176</v>
      </c>
    </row>
    <row r="5276" spans="1:2" x14ac:dyDescent="0.3">
      <c r="A5276" t="s">
        <v>4559</v>
      </c>
      <c r="B5276" t="s">
        <v>176</v>
      </c>
    </row>
    <row r="5277" spans="1:2" x14ac:dyDescent="0.3">
      <c r="A5277" t="s">
        <v>4560</v>
      </c>
      <c r="B5277" t="s">
        <v>176</v>
      </c>
    </row>
    <row r="5278" spans="1:2" x14ac:dyDescent="0.3">
      <c r="A5278" t="s">
        <v>4561</v>
      </c>
      <c r="B5278" t="s">
        <v>176</v>
      </c>
    </row>
    <row r="5279" spans="1:2" x14ac:dyDescent="0.3">
      <c r="A5279" t="s">
        <v>4562</v>
      </c>
      <c r="B5279" t="s">
        <v>176</v>
      </c>
    </row>
    <row r="5280" spans="1:2" x14ac:dyDescent="0.3">
      <c r="A5280" t="s">
        <v>4563</v>
      </c>
      <c r="B5280" t="s">
        <v>176</v>
      </c>
    </row>
    <row r="5281" spans="1:2" x14ac:dyDescent="0.3">
      <c r="A5281" t="s">
        <v>4564</v>
      </c>
      <c r="B5281" t="s">
        <v>176</v>
      </c>
    </row>
    <row r="5282" spans="1:2" x14ac:dyDescent="0.3">
      <c r="A5282" t="s">
        <v>4565</v>
      </c>
      <c r="B5282" t="s">
        <v>176</v>
      </c>
    </row>
    <row r="5283" spans="1:2" x14ac:dyDescent="0.3">
      <c r="A5283" t="s">
        <v>4566</v>
      </c>
      <c r="B5283" t="s">
        <v>176</v>
      </c>
    </row>
    <row r="5284" spans="1:2" x14ac:dyDescent="0.3">
      <c r="A5284" t="s">
        <v>4567</v>
      </c>
      <c r="B5284" t="s">
        <v>176</v>
      </c>
    </row>
    <row r="5285" spans="1:2" x14ac:dyDescent="0.3">
      <c r="A5285" t="s">
        <v>4568</v>
      </c>
      <c r="B5285" t="s">
        <v>176</v>
      </c>
    </row>
    <row r="5286" spans="1:2" x14ac:dyDescent="0.3">
      <c r="A5286" t="s">
        <v>4569</v>
      </c>
      <c r="B5286" t="s">
        <v>176</v>
      </c>
    </row>
    <row r="5287" spans="1:2" x14ac:dyDescent="0.3">
      <c r="A5287" t="s">
        <v>4570</v>
      </c>
      <c r="B5287" t="s">
        <v>176</v>
      </c>
    </row>
    <row r="5288" spans="1:2" x14ac:dyDescent="0.3">
      <c r="A5288" t="s">
        <v>4571</v>
      </c>
      <c r="B5288" t="s">
        <v>176</v>
      </c>
    </row>
    <row r="5289" spans="1:2" x14ac:dyDescent="0.3">
      <c r="A5289" t="s">
        <v>4572</v>
      </c>
      <c r="B5289" t="s">
        <v>176</v>
      </c>
    </row>
    <row r="5290" spans="1:2" x14ac:dyDescent="0.3">
      <c r="B5290" t="s">
        <v>1426</v>
      </c>
    </row>
    <row r="5291" spans="1:2" x14ac:dyDescent="0.3">
      <c r="B5291" t="s">
        <v>1426</v>
      </c>
    </row>
    <row r="5292" spans="1:2" x14ac:dyDescent="0.3">
      <c r="A5292" t="s">
        <v>4573</v>
      </c>
      <c r="B5292" t="s">
        <v>171</v>
      </c>
    </row>
    <row r="5293" spans="1:2" x14ac:dyDescent="0.3">
      <c r="A5293" t="s">
        <v>4574</v>
      </c>
      <c r="B5293" t="s">
        <v>2249</v>
      </c>
    </row>
    <row r="5294" spans="1:2" x14ac:dyDescent="0.3">
      <c r="A5294" t="s">
        <v>4575</v>
      </c>
      <c r="B5294" t="s">
        <v>216</v>
      </c>
    </row>
    <row r="5295" spans="1:2" x14ac:dyDescent="0.3">
      <c r="A5295" t="s">
        <v>4576</v>
      </c>
      <c r="B5295" t="s">
        <v>216</v>
      </c>
    </row>
    <row r="5296" spans="1:2" x14ac:dyDescent="0.3">
      <c r="A5296" t="s">
        <v>4577</v>
      </c>
      <c r="B5296" t="s">
        <v>72</v>
      </c>
    </row>
    <row r="5297" spans="1:2" x14ac:dyDescent="0.3">
      <c r="A5297" t="s">
        <v>4578</v>
      </c>
      <c r="B5297" t="s">
        <v>166</v>
      </c>
    </row>
    <row r="5298" spans="1:2" x14ac:dyDescent="0.3">
      <c r="B5298" t="s">
        <v>179</v>
      </c>
    </row>
    <row r="5299" spans="1:2" x14ac:dyDescent="0.3">
      <c r="A5299" t="s">
        <v>4579</v>
      </c>
      <c r="B5299" t="s">
        <v>1</v>
      </c>
    </row>
    <row r="5300" spans="1:2" x14ac:dyDescent="0.3">
      <c r="A5300" t="s">
        <v>4580</v>
      </c>
      <c r="B5300" t="s">
        <v>176</v>
      </c>
    </row>
    <row r="5301" spans="1:2" x14ac:dyDescent="0.3">
      <c r="A5301" t="s">
        <v>4581</v>
      </c>
      <c r="B5301" t="s">
        <v>176</v>
      </c>
    </row>
    <row r="5302" spans="1:2" x14ac:dyDescent="0.3">
      <c r="A5302" t="s">
        <v>4582</v>
      </c>
      <c r="B5302" t="s">
        <v>176</v>
      </c>
    </row>
    <row r="5303" spans="1:2" x14ac:dyDescent="0.3">
      <c r="A5303" t="s">
        <v>4583</v>
      </c>
      <c r="B5303" t="s">
        <v>176</v>
      </c>
    </row>
    <row r="5304" spans="1:2" x14ac:dyDescent="0.3">
      <c r="A5304" t="s">
        <v>4584</v>
      </c>
      <c r="B5304" t="s">
        <v>176</v>
      </c>
    </row>
    <row r="5305" spans="1:2" x14ac:dyDescent="0.3">
      <c r="A5305" t="s">
        <v>4585</v>
      </c>
      <c r="B5305" t="s">
        <v>176</v>
      </c>
    </row>
    <row r="5306" spans="1:2" x14ac:dyDescent="0.3">
      <c r="A5306" t="s">
        <v>4586</v>
      </c>
      <c r="B5306" t="s">
        <v>176</v>
      </c>
    </row>
    <row r="5307" spans="1:2" x14ac:dyDescent="0.3">
      <c r="A5307" t="s">
        <v>4587</v>
      </c>
      <c r="B5307" t="s">
        <v>176</v>
      </c>
    </row>
    <row r="5308" spans="1:2" x14ac:dyDescent="0.3">
      <c r="A5308" t="s">
        <v>4588</v>
      </c>
      <c r="B5308" t="s">
        <v>176</v>
      </c>
    </row>
    <row r="5309" spans="1:2" x14ac:dyDescent="0.3">
      <c r="B5309" t="s">
        <v>896</v>
      </c>
    </row>
    <row r="5310" spans="1:2" x14ac:dyDescent="0.3">
      <c r="B5310" t="s">
        <v>1751</v>
      </c>
    </row>
    <row r="5311" spans="1:2" x14ac:dyDescent="0.3">
      <c r="B5311" t="s">
        <v>1751</v>
      </c>
    </row>
    <row r="5312" spans="1:2" x14ac:dyDescent="0.3">
      <c r="B5312" t="s">
        <v>1</v>
      </c>
    </row>
    <row r="5313" spans="1:2" x14ac:dyDescent="0.3">
      <c r="B5313" t="s">
        <v>1</v>
      </c>
    </row>
    <row r="5314" spans="1:2" x14ac:dyDescent="0.3">
      <c r="A5314" t="s">
        <v>4589</v>
      </c>
      <c r="B5314" t="s">
        <v>1</v>
      </c>
    </row>
    <row r="5315" spans="1:2" x14ac:dyDescent="0.3">
      <c r="B5315" t="s">
        <v>1</v>
      </c>
    </row>
    <row r="5316" spans="1:2" x14ac:dyDescent="0.3">
      <c r="A5316" t="s">
        <v>4590</v>
      </c>
      <c r="B5316" t="s">
        <v>910</v>
      </c>
    </row>
    <row r="5317" spans="1:2" x14ac:dyDescent="0.3">
      <c r="A5317" t="s">
        <v>4591</v>
      </c>
      <c r="B5317" t="s">
        <v>223</v>
      </c>
    </row>
    <row r="5318" spans="1:2" x14ac:dyDescent="0.3">
      <c r="A5318" t="s">
        <v>4592</v>
      </c>
      <c r="B5318" t="s">
        <v>1</v>
      </c>
    </row>
    <row r="5319" spans="1:2" x14ac:dyDescent="0.3">
      <c r="A5319" t="s">
        <v>4593</v>
      </c>
      <c r="B5319" t="s">
        <v>1</v>
      </c>
    </row>
    <row r="5320" spans="1:2" x14ac:dyDescent="0.3">
      <c r="A5320" t="s">
        <v>4594</v>
      </c>
      <c r="B5320" t="s">
        <v>1</v>
      </c>
    </row>
    <row r="5321" spans="1:2" x14ac:dyDescent="0.3">
      <c r="A5321" t="s">
        <v>4595</v>
      </c>
      <c r="B5321" t="s">
        <v>1</v>
      </c>
    </row>
    <row r="5322" spans="1:2" x14ac:dyDescent="0.3">
      <c r="A5322" t="s">
        <v>4596</v>
      </c>
      <c r="B5322" t="s">
        <v>1</v>
      </c>
    </row>
    <row r="5323" spans="1:2" x14ac:dyDescent="0.3">
      <c r="B5323" t="s">
        <v>72</v>
      </c>
    </row>
    <row r="5324" spans="1:2" x14ac:dyDescent="0.3">
      <c r="B5324" t="s">
        <v>1</v>
      </c>
    </row>
    <row r="5325" spans="1:2" x14ac:dyDescent="0.3">
      <c r="B5325" t="s">
        <v>1</v>
      </c>
    </row>
    <row r="5326" spans="1:2" x14ac:dyDescent="0.3">
      <c r="B5326" t="s">
        <v>292</v>
      </c>
    </row>
    <row r="5327" spans="1:2" x14ac:dyDescent="0.3">
      <c r="A5327" t="s">
        <v>53</v>
      </c>
      <c r="B5327" t="s">
        <v>97</v>
      </c>
    </row>
    <row r="5328" spans="1:2" x14ac:dyDescent="0.3">
      <c r="B5328" t="s">
        <v>169</v>
      </c>
    </row>
    <row r="5329" spans="1:2" x14ac:dyDescent="0.3">
      <c r="A5329" t="s">
        <v>4597</v>
      </c>
      <c r="B5329" t="s">
        <v>1</v>
      </c>
    </row>
    <row r="5330" spans="1:2" x14ac:dyDescent="0.3">
      <c r="A5330" t="s">
        <v>4598</v>
      </c>
      <c r="B5330" t="s">
        <v>1</v>
      </c>
    </row>
    <row r="5331" spans="1:2" x14ac:dyDescent="0.3">
      <c r="B5331" t="s">
        <v>1470</v>
      </c>
    </row>
    <row r="5332" spans="1:2" x14ac:dyDescent="0.3">
      <c r="A5332" t="s">
        <v>4599</v>
      </c>
      <c r="B5332" t="s">
        <v>166</v>
      </c>
    </row>
    <row r="5333" spans="1:2" x14ac:dyDescent="0.3">
      <c r="A5333" t="s">
        <v>4600</v>
      </c>
      <c r="B5333" t="s">
        <v>2</v>
      </c>
    </row>
    <row r="5334" spans="1:2" x14ac:dyDescent="0.3">
      <c r="B5334" t="s">
        <v>182</v>
      </c>
    </row>
    <row r="5335" spans="1:2" x14ac:dyDescent="0.3">
      <c r="B5335" t="s">
        <v>182</v>
      </c>
    </row>
    <row r="5336" spans="1:2" x14ac:dyDescent="0.3">
      <c r="A5336" t="s">
        <v>245</v>
      </c>
      <c r="B5336" t="s">
        <v>280</v>
      </c>
    </row>
    <row r="5337" spans="1:2" x14ac:dyDescent="0.3">
      <c r="B5337" t="s">
        <v>166</v>
      </c>
    </row>
    <row r="5338" spans="1:2" x14ac:dyDescent="0.3">
      <c r="A5338" t="s">
        <v>4601</v>
      </c>
      <c r="B5338" t="s">
        <v>104</v>
      </c>
    </row>
    <row r="5339" spans="1:2" x14ac:dyDescent="0.3">
      <c r="A5339" t="s">
        <v>4602</v>
      </c>
      <c r="B5339" t="s">
        <v>166</v>
      </c>
    </row>
    <row r="5340" spans="1:2" x14ac:dyDescent="0.3">
      <c r="A5340" t="s">
        <v>4603</v>
      </c>
      <c r="B5340" t="s">
        <v>97</v>
      </c>
    </row>
    <row r="5341" spans="1:2" x14ac:dyDescent="0.3">
      <c r="B5341" t="s">
        <v>1107</v>
      </c>
    </row>
    <row r="5342" spans="1:2" x14ac:dyDescent="0.3">
      <c r="B5342" t="s">
        <v>1107</v>
      </c>
    </row>
    <row r="5343" spans="1:2" x14ac:dyDescent="0.3">
      <c r="B5343" t="s">
        <v>1107</v>
      </c>
    </row>
    <row r="5344" spans="1:2" x14ac:dyDescent="0.3">
      <c r="B5344" t="s">
        <v>1107</v>
      </c>
    </row>
    <row r="5345" spans="1:2" x14ac:dyDescent="0.3">
      <c r="B5345" t="s">
        <v>1107</v>
      </c>
    </row>
    <row r="5346" spans="1:2" x14ac:dyDescent="0.3">
      <c r="B5346" t="s">
        <v>1107</v>
      </c>
    </row>
    <row r="5347" spans="1:2" x14ac:dyDescent="0.3">
      <c r="B5347" t="s">
        <v>1107</v>
      </c>
    </row>
    <row r="5348" spans="1:2" x14ac:dyDescent="0.3">
      <c r="B5348" t="s">
        <v>166</v>
      </c>
    </row>
    <row r="5349" spans="1:2" x14ac:dyDescent="0.3">
      <c r="A5349" t="s">
        <v>4604</v>
      </c>
      <c r="B5349" t="s">
        <v>174</v>
      </c>
    </row>
    <row r="5350" spans="1:2" x14ac:dyDescent="0.3">
      <c r="A5350" t="s">
        <v>4605</v>
      </c>
      <c r="B5350" t="s">
        <v>182</v>
      </c>
    </row>
    <row r="5351" spans="1:2" x14ac:dyDescent="0.3">
      <c r="B5351" t="s">
        <v>263</v>
      </c>
    </row>
    <row r="5352" spans="1:2" x14ac:dyDescent="0.3">
      <c r="A5352" t="s">
        <v>4606</v>
      </c>
      <c r="B5352" t="s">
        <v>2</v>
      </c>
    </row>
    <row r="5353" spans="1:2" x14ac:dyDescent="0.3">
      <c r="A5353" t="s">
        <v>4607</v>
      </c>
      <c r="B5353" t="s">
        <v>1</v>
      </c>
    </row>
    <row r="5354" spans="1:2" x14ac:dyDescent="0.3">
      <c r="B5354" t="s">
        <v>1</v>
      </c>
    </row>
    <row r="5355" spans="1:2" x14ac:dyDescent="0.3">
      <c r="B5355" t="s">
        <v>97</v>
      </c>
    </row>
    <row r="5356" spans="1:2" x14ac:dyDescent="0.3">
      <c r="A5356" t="s">
        <v>4608</v>
      </c>
      <c r="B5356" t="s">
        <v>97</v>
      </c>
    </row>
    <row r="5357" spans="1:2" x14ac:dyDescent="0.3">
      <c r="A5357" t="s">
        <v>4609</v>
      </c>
      <c r="B5357" t="s">
        <v>202</v>
      </c>
    </row>
    <row r="5358" spans="1:2" x14ac:dyDescent="0.3">
      <c r="A5358" t="s">
        <v>4610</v>
      </c>
      <c r="B5358" t="s">
        <v>2</v>
      </c>
    </row>
    <row r="5359" spans="1:2" x14ac:dyDescent="0.3">
      <c r="B5359" t="s">
        <v>2</v>
      </c>
    </row>
    <row r="5360" spans="1:2" x14ac:dyDescent="0.3">
      <c r="A5360" t="s">
        <v>4611</v>
      </c>
      <c r="B5360" t="s">
        <v>181</v>
      </c>
    </row>
    <row r="5361" spans="1:2" x14ac:dyDescent="0.3">
      <c r="B5361" t="s">
        <v>72</v>
      </c>
    </row>
    <row r="5362" spans="1:2" x14ac:dyDescent="0.3">
      <c r="B5362" t="s">
        <v>888</v>
      </c>
    </row>
    <row r="5363" spans="1:2" x14ac:dyDescent="0.3">
      <c r="B5363" t="s">
        <v>1470</v>
      </c>
    </row>
    <row r="5364" spans="1:2" x14ac:dyDescent="0.3">
      <c r="A5364" t="s">
        <v>4612</v>
      </c>
      <c r="B5364" t="s">
        <v>484</v>
      </c>
    </row>
    <row r="5365" spans="1:2" x14ac:dyDescent="0.3">
      <c r="A5365" t="s">
        <v>4613</v>
      </c>
      <c r="B5365" t="s">
        <v>2</v>
      </c>
    </row>
    <row r="5366" spans="1:2" x14ac:dyDescent="0.3">
      <c r="A5366" t="s">
        <v>129</v>
      </c>
      <c r="B5366" t="s">
        <v>1</v>
      </c>
    </row>
    <row r="5367" spans="1:2" x14ac:dyDescent="0.3">
      <c r="B5367" t="s">
        <v>263</v>
      </c>
    </row>
    <row r="5368" spans="1:2" x14ac:dyDescent="0.3">
      <c r="A5368" t="s">
        <v>4614</v>
      </c>
      <c r="B5368" t="s">
        <v>97</v>
      </c>
    </row>
    <row r="5369" spans="1:2" x14ac:dyDescent="0.3">
      <c r="B5369" t="s">
        <v>179</v>
      </c>
    </row>
    <row r="5370" spans="1:2" x14ac:dyDescent="0.3">
      <c r="A5370" t="s">
        <v>4615</v>
      </c>
      <c r="B5370" t="s">
        <v>1</v>
      </c>
    </row>
    <row r="5371" spans="1:2" x14ac:dyDescent="0.3">
      <c r="B5371" t="s">
        <v>2208</v>
      </c>
    </row>
    <row r="5372" spans="1:2" x14ac:dyDescent="0.3">
      <c r="B5372" t="s">
        <v>2208</v>
      </c>
    </row>
    <row r="5373" spans="1:2" x14ac:dyDescent="0.3">
      <c r="B5373" t="s">
        <v>2208</v>
      </c>
    </row>
    <row r="5374" spans="1:2" x14ac:dyDescent="0.3">
      <c r="B5374" t="s">
        <v>1728</v>
      </c>
    </row>
    <row r="5375" spans="1:2" x14ac:dyDescent="0.3">
      <c r="B5375" t="s">
        <v>1728</v>
      </c>
    </row>
    <row r="5376" spans="1:2" x14ac:dyDescent="0.3">
      <c r="B5376" t="s">
        <v>1728</v>
      </c>
    </row>
    <row r="5377" spans="1:2" x14ac:dyDescent="0.3">
      <c r="B5377" t="s">
        <v>1728</v>
      </c>
    </row>
    <row r="5378" spans="1:2" x14ac:dyDescent="0.3">
      <c r="B5378" t="s">
        <v>249</v>
      </c>
    </row>
    <row r="5379" spans="1:2" x14ac:dyDescent="0.3">
      <c r="B5379" t="s">
        <v>72</v>
      </c>
    </row>
    <row r="5380" spans="1:2" x14ac:dyDescent="0.3">
      <c r="B5380" t="s">
        <v>186</v>
      </c>
    </row>
    <row r="5381" spans="1:2" x14ac:dyDescent="0.3">
      <c r="B5381" t="s">
        <v>186</v>
      </c>
    </row>
    <row r="5382" spans="1:2" x14ac:dyDescent="0.3">
      <c r="B5382" t="s">
        <v>2249</v>
      </c>
    </row>
    <row r="5383" spans="1:2" x14ac:dyDescent="0.3">
      <c r="B5383" t="s">
        <v>72</v>
      </c>
    </row>
    <row r="5384" spans="1:2" x14ac:dyDescent="0.3">
      <c r="B5384" t="s">
        <v>72</v>
      </c>
    </row>
    <row r="5385" spans="1:2" x14ac:dyDescent="0.3">
      <c r="B5385" t="s">
        <v>72</v>
      </c>
    </row>
    <row r="5386" spans="1:2" x14ac:dyDescent="0.3">
      <c r="B5386" t="s">
        <v>72</v>
      </c>
    </row>
    <row r="5387" spans="1:2" x14ac:dyDescent="0.3">
      <c r="A5387" t="s">
        <v>4616</v>
      </c>
      <c r="B5387" t="s">
        <v>176</v>
      </c>
    </row>
    <row r="5388" spans="1:2" x14ac:dyDescent="0.3">
      <c r="A5388" t="s">
        <v>4617</v>
      </c>
      <c r="B5388" t="s">
        <v>176</v>
      </c>
    </row>
    <row r="5389" spans="1:2" x14ac:dyDescent="0.3">
      <c r="A5389" t="s">
        <v>4618</v>
      </c>
      <c r="B5389" t="s">
        <v>176</v>
      </c>
    </row>
    <row r="5390" spans="1:2" x14ac:dyDescent="0.3">
      <c r="B5390" t="s">
        <v>1</v>
      </c>
    </row>
    <row r="5391" spans="1:2" x14ac:dyDescent="0.3">
      <c r="A5391" t="s">
        <v>4619</v>
      </c>
      <c r="B5391" t="s">
        <v>166</v>
      </c>
    </row>
    <row r="5392" spans="1:2" x14ac:dyDescent="0.3">
      <c r="B5392" t="s">
        <v>166</v>
      </c>
    </row>
    <row r="5393" spans="1:2" x14ac:dyDescent="0.3">
      <c r="B5393" t="s">
        <v>166</v>
      </c>
    </row>
    <row r="5394" spans="1:2" x14ac:dyDescent="0.3">
      <c r="B5394" t="s">
        <v>166</v>
      </c>
    </row>
    <row r="5395" spans="1:2" x14ac:dyDescent="0.3">
      <c r="B5395" t="s">
        <v>166</v>
      </c>
    </row>
    <row r="5396" spans="1:2" x14ac:dyDescent="0.3">
      <c r="B5396" t="s">
        <v>166</v>
      </c>
    </row>
    <row r="5397" spans="1:2" x14ac:dyDescent="0.3">
      <c r="B5397" t="s">
        <v>166</v>
      </c>
    </row>
    <row r="5398" spans="1:2" x14ac:dyDescent="0.3">
      <c r="B5398" t="s">
        <v>166</v>
      </c>
    </row>
    <row r="5399" spans="1:2" x14ac:dyDescent="0.3">
      <c r="B5399" t="s">
        <v>166</v>
      </c>
    </row>
    <row r="5400" spans="1:2" x14ac:dyDescent="0.3">
      <c r="A5400" t="s">
        <v>4620</v>
      </c>
      <c r="B5400" t="s">
        <v>263</v>
      </c>
    </row>
    <row r="5401" spans="1:2" x14ac:dyDescent="0.3">
      <c r="A5401" t="s">
        <v>4621</v>
      </c>
      <c r="B5401" t="s">
        <v>263</v>
      </c>
    </row>
    <row r="5402" spans="1:2" x14ac:dyDescent="0.3">
      <c r="B5402" t="s">
        <v>263</v>
      </c>
    </row>
    <row r="5403" spans="1:2" x14ac:dyDescent="0.3">
      <c r="B5403" t="s">
        <v>263</v>
      </c>
    </row>
    <row r="5404" spans="1:2" x14ac:dyDescent="0.3">
      <c r="B5404" t="s">
        <v>263</v>
      </c>
    </row>
    <row r="5405" spans="1:2" x14ac:dyDescent="0.3">
      <c r="A5405" t="s">
        <v>4622</v>
      </c>
      <c r="B5405" t="s">
        <v>1694</v>
      </c>
    </row>
    <row r="5406" spans="1:2" x14ac:dyDescent="0.3">
      <c r="B5406" t="s">
        <v>166</v>
      </c>
    </row>
    <row r="5407" spans="1:2" x14ac:dyDescent="0.3">
      <c r="A5407" t="s">
        <v>4623</v>
      </c>
      <c r="B5407" t="s">
        <v>166</v>
      </c>
    </row>
    <row r="5408" spans="1:2" x14ac:dyDescent="0.3">
      <c r="B5408" t="s">
        <v>166</v>
      </c>
    </row>
    <row r="5409" spans="1:2" x14ac:dyDescent="0.3">
      <c r="B5409" t="s">
        <v>166</v>
      </c>
    </row>
    <row r="5410" spans="1:2" x14ac:dyDescent="0.3">
      <c r="A5410" t="s">
        <v>4624</v>
      </c>
      <c r="B5410" t="s">
        <v>1</v>
      </c>
    </row>
    <row r="5411" spans="1:2" x14ac:dyDescent="0.3">
      <c r="A5411" t="s">
        <v>4625</v>
      </c>
      <c r="B5411" t="s">
        <v>3306</v>
      </c>
    </row>
    <row r="5412" spans="1:2" x14ac:dyDescent="0.3">
      <c r="A5412" t="s">
        <v>4626</v>
      </c>
      <c r="B5412" t="s">
        <v>3306</v>
      </c>
    </row>
    <row r="5413" spans="1:2" x14ac:dyDescent="0.3">
      <c r="A5413" t="s">
        <v>4627</v>
      </c>
      <c r="B5413" t="s">
        <v>3306</v>
      </c>
    </row>
    <row r="5414" spans="1:2" x14ac:dyDescent="0.3">
      <c r="A5414" t="s">
        <v>74</v>
      </c>
      <c r="B5414" t="s">
        <v>167</v>
      </c>
    </row>
    <row r="5415" spans="1:2" x14ac:dyDescent="0.3">
      <c r="A5415" t="s">
        <v>4628</v>
      </c>
      <c r="B5415" t="s">
        <v>1</v>
      </c>
    </row>
    <row r="5416" spans="1:2" x14ac:dyDescent="0.3">
      <c r="B5416" t="s">
        <v>171</v>
      </c>
    </row>
    <row r="5417" spans="1:2" x14ac:dyDescent="0.3">
      <c r="A5417" t="s">
        <v>4629</v>
      </c>
      <c r="B5417" t="s">
        <v>182</v>
      </c>
    </row>
    <row r="5418" spans="1:2" x14ac:dyDescent="0.3">
      <c r="B5418" t="s">
        <v>171</v>
      </c>
    </row>
    <row r="5419" spans="1:2" x14ac:dyDescent="0.3">
      <c r="A5419" t="s">
        <v>4630</v>
      </c>
      <c r="B5419" t="s">
        <v>72</v>
      </c>
    </row>
    <row r="5420" spans="1:2" x14ac:dyDescent="0.3">
      <c r="B5420" t="s">
        <v>72</v>
      </c>
    </row>
    <row r="5421" spans="1:2" x14ac:dyDescent="0.3">
      <c r="A5421" t="s">
        <v>4631</v>
      </c>
      <c r="B5421" t="s">
        <v>1</v>
      </c>
    </row>
    <row r="5422" spans="1:2" x14ac:dyDescent="0.3">
      <c r="A5422" t="s">
        <v>4632</v>
      </c>
      <c r="B5422" t="s">
        <v>2363</v>
      </c>
    </row>
    <row r="5423" spans="1:2" x14ac:dyDescent="0.3">
      <c r="A5423" t="s">
        <v>4633</v>
      </c>
      <c r="B5423" t="s">
        <v>2353</v>
      </c>
    </row>
    <row r="5424" spans="1:2" x14ac:dyDescent="0.3">
      <c r="A5424" t="s">
        <v>4634</v>
      </c>
      <c r="B5424" t="s">
        <v>2353</v>
      </c>
    </row>
    <row r="5425" spans="1:2" x14ac:dyDescent="0.3">
      <c r="A5425" t="s">
        <v>4635</v>
      </c>
      <c r="B5425" t="s">
        <v>2353</v>
      </c>
    </row>
    <row r="5426" spans="1:2" x14ac:dyDescent="0.3">
      <c r="A5426" t="s">
        <v>4636</v>
      </c>
      <c r="B5426" t="s">
        <v>1</v>
      </c>
    </row>
    <row r="5427" spans="1:2" x14ac:dyDescent="0.3">
      <c r="A5427" t="s">
        <v>4637</v>
      </c>
      <c r="B5427" t="s">
        <v>1</v>
      </c>
    </row>
    <row r="5428" spans="1:2" x14ac:dyDescent="0.3">
      <c r="B5428" t="s">
        <v>181</v>
      </c>
    </row>
    <row r="5429" spans="1:2" x14ac:dyDescent="0.3">
      <c r="B5429" t="s">
        <v>216</v>
      </c>
    </row>
    <row r="5430" spans="1:2" x14ac:dyDescent="0.3">
      <c r="B5430" t="s">
        <v>216</v>
      </c>
    </row>
    <row r="5431" spans="1:2" x14ac:dyDescent="0.3">
      <c r="A5431" t="s">
        <v>4638</v>
      </c>
      <c r="B5431" t="s">
        <v>171</v>
      </c>
    </row>
    <row r="5432" spans="1:2" x14ac:dyDescent="0.3">
      <c r="B5432" t="s">
        <v>171</v>
      </c>
    </row>
    <row r="5433" spans="1:2" x14ac:dyDescent="0.3">
      <c r="A5433" t="s">
        <v>4639</v>
      </c>
      <c r="B5433" t="s">
        <v>171</v>
      </c>
    </row>
    <row r="5434" spans="1:2" x14ac:dyDescent="0.3">
      <c r="B5434" t="s">
        <v>171</v>
      </c>
    </row>
    <row r="5435" spans="1:2" x14ac:dyDescent="0.3">
      <c r="B5435" t="s">
        <v>759</v>
      </c>
    </row>
    <row r="5436" spans="1:2" x14ac:dyDescent="0.3">
      <c r="B5436" t="s">
        <v>186</v>
      </c>
    </row>
    <row r="5437" spans="1:2" x14ac:dyDescent="0.3">
      <c r="A5437" t="s">
        <v>7</v>
      </c>
      <c r="B5437" t="s">
        <v>1</v>
      </c>
    </row>
    <row r="5438" spans="1:2" x14ac:dyDescent="0.3">
      <c r="A5438" t="s">
        <v>4640</v>
      </c>
      <c r="B5438" t="s">
        <v>1</v>
      </c>
    </row>
    <row r="5439" spans="1:2" x14ac:dyDescent="0.3">
      <c r="A5439" t="s">
        <v>4641</v>
      </c>
      <c r="B5439" t="s">
        <v>2670</v>
      </c>
    </row>
    <row r="5440" spans="1:2" x14ac:dyDescent="0.3">
      <c r="A5440" t="s">
        <v>4642</v>
      </c>
      <c r="B5440" t="s">
        <v>171</v>
      </c>
    </row>
    <row r="5441" spans="1:2" x14ac:dyDescent="0.3">
      <c r="A5441" t="s">
        <v>4643</v>
      </c>
      <c r="B5441" t="s">
        <v>171</v>
      </c>
    </row>
    <row r="5442" spans="1:2" x14ac:dyDescent="0.3">
      <c r="A5442" t="s">
        <v>4644</v>
      </c>
      <c r="B5442" t="s">
        <v>171</v>
      </c>
    </row>
    <row r="5443" spans="1:2" x14ac:dyDescent="0.3">
      <c r="A5443" t="s">
        <v>4645</v>
      </c>
      <c r="B5443" t="s">
        <v>193</v>
      </c>
    </row>
    <row r="5444" spans="1:2" x14ac:dyDescent="0.3">
      <c r="A5444" t="s">
        <v>4646</v>
      </c>
      <c r="B5444" t="s">
        <v>184</v>
      </c>
    </row>
    <row r="5445" spans="1:2" x14ac:dyDescent="0.3">
      <c r="A5445" t="s">
        <v>4647</v>
      </c>
      <c r="B5445" t="s">
        <v>172</v>
      </c>
    </row>
    <row r="5446" spans="1:2" x14ac:dyDescent="0.3">
      <c r="A5446" t="s">
        <v>4648</v>
      </c>
      <c r="B5446" t="s">
        <v>167</v>
      </c>
    </row>
    <row r="5447" spans="1:2" x14ac:dyDescent="0.3">
      <c r="A5447" t="s">
        <v>4649</v>
      </c>
      <c r="B5447" t="s">
        <v>4650</v>
      </c>
    </row>
    <row r="5448" spans="1:2" x14ac:dyDescent="0.3">
      <c r="A5448" t="s">
        <v>4651</v>
      </c>
      <c r="B5448" t="s">
        <v>2289</v>
      </c>
    </row>
    <row r="5449" spans="1:2" x14ac:dyDescent="0.3">
      <c r="A5449" t="s">
        <v>4652</v>
      </c>
      <c r="B5449" t="s">
        <v>103</v>
      </c>
    </row>
    <row r="5450" spans="1:2" x14ac:dyDescent="0.3">
      <c r="A5450" t="s">
        <v>4653</v>
      </c>
      <c r="B5450" t="s">
        <v>103</v>
      </c>
    </row>
    <row r="5451" spans="1:2" x14ac:dyDescent="0.3">
      <c r="A5451" t="s">
        <v>4654</v>
      </c>
      <c r="B5451" t="s">
        <v>103</v>
      </c>
    </row>
    <row r="5452" spans="1:2" x14ac:dyDescent="0.3">
      <c r="A5452" t="s">
        <v>3375</v>
      </c>
      <c r="B5452" t="s">
        <v>103</v>
      </c>
    </row>
    <row r="5453" spans="1:2" x14ac:dyDescent="0.3">
      <c r="A5453" t="s">
        <v>4655</v>
      </c>
      <c r="B5453" t="s">
        <v>103</v>
      </c>
    </row>
    <row r="5454" spans="1:2" x14ac:dyDescent="0.3">
      <c r="A5454" t="s">
        <v>4656</v>
      </c>
      <c r="B5454" t="s">
        <v>103</v>
      </c>
    </row>
    <row r="5455" spans="1:2" x14ac:dyDescent="0.3">
      <c r="A5455" t="s">
        <v>4657</v>
      </c>
      <c r="B5455" t="s">
        <v>3338</v>
      </c>
    </row>
    <row r="5456" spans="1:2" x14ac:dyDescent="0.3">
      <c r="A5456" t="s">
        <v>4658</v>
      </c>
      <c r="B5456" t="s">
        <v>3338</v>
      </c>
    </row>
    <row r="5457" spans="1:2" x14ac:dyDescent="0.3">
      <c r="A5457" t="s">
        <v>4659</v>
      </c>
      <c r="B5457" t="s">
        <v>1779</v>
      </c>
    </row>
    <row r="5458" spans="1:2" x14ac:dyDescent="0.3">
      <c r="A5458" t="s">
        <v>4660</v>
      </c>
      <c r="B5458" t="s">
        <v>188</v>
      </c>
    </row>
    <row r="5459" spans="1:2" x14ac:dyDescent="0.3">
      <c r="A5459" t="s">
        <v>4661</v>
      </c>
      <c r="B5459" t="s">
        <v>172</v>
      </c>
    </row>
    <row r="5460" spans="1:2" x14ac:dyDescent="0.3">
      <c r="A5460" t="s">
        <v>4662</v>
      </c>
      <c r="B5460" t="s">
        <v>1538</v>
      </c>
    </row>
    <row r="5461" spans="1:2" x14ac:dyDescent="0.3">
      <c r="A5461" t="s">
        <v>4663</v>
      </c>
      <c r="B5461" t="s">
        <v>249</v>
      </c>
    </row>
    <row r="5462" spans="1:2" x14ac:dyDescent="0.3">
      <c r="A5462" t="s">
        <v>4664</v>
      </c>
      <c r="B5462" t="s">
        <v>176</v>
      </c>
    </row>
    <row r="5463" spans="1:2" x14ac:dyDescent="0.3">
      <c r="A5463" t="s">
        <v>4665</v>
      </c>
      <c r="B5463" t="s">
        <v>1718</v>
      </c>
    </row>
    <row r="5464" spans="1:2" x14ac:dyDescent="0.3">
      <c r="A5464" t="s">
        <v>4666</v>
      </c>
      <c r="B5464" t="s">
        <v>201</v>
      </c>
    </row>
    <row r="5465" spans="1:2" x14ac:dyDescent="0.3">
      <c r="A5465" t="s">
        <v>4667</v>
      </c>
      <c r="B5465" t="s">
        <v>201</v>
      </c>
    </row>
    <row r="5466" spans="1:2" x14ac:dyDescent="0.3">
      <c r="A5466" t="s">
        <v>4668</v>
      </c>
      <c r="B5466" t="s">
        <v>247</v>
      </c>
    </row>
    <row r="5467" spans="1:2" x14ac:dyDescent="0.3">
      <c r="A5467" t="s">
        <v>4669</v>
      </c>
      <c r="B5467" t="s">
        <v>1</v>
      </c>
    </row>
    <row r="5468" spans="1:2" x14ac:dyDescent="0.3">
      <c r="A5468" t="s">
        <v>4670</v>
      </c>
      <c r="B5468" t="s">
        <v>1</v>
      </c>
    </row>
    <row r="5469" spans="1:2" x14ac:dyDescent="0.3">
      <c r="A5469" t="s">
        <v>4671</v>
      </c>
      <c r="B5469" t="s">
        <v>1</v>
      </c>
    </row>
    <row r="5470" spans="1:2" x14ac:dyDescent="0.3">
      <c r="A5470" t="s">
        <v>4672</v>
      </c>
      <c r="B5470" t="s">
        <v>1</v>
      </c>
    </row>
    <row r="5471" spans="1:2" x14ac:dyDescent="0.3">
      <c r="A5471" t="s">
        <v>4673</v>
      </c>
      <c r="B5471" t="s">
        <v>1</v>
      </c>
    </row>
    <row r="5472" spans="1:2" x14ac:dyDescent="0.3">
      <c r="A5472" t="s">
        <v>262</v>
      </c>
      <c r="B5472" t="s">
        <v>910</v>
      </c>
    </row>
    <row r="5473" spans="1:2" x14ac:dyDescent="0.3">
      <c r="A5473" t="s">
        <v>4674</v>
      </c>
      <c r="B5473" t="s">
        <v>910</v>
      </c>
    </row>
    <row r="5474" spans="1:2" x14ac:dyDescent="0.3">
      <c r="A5474" t="s">
        <v>4675</v>
      </c>
      <c r="B5474" t="s">
        <v>910</v>
      </c>
    </row>
    <row r="5475" spans="1:2" x14ac:dyDescent="0.3">
      <c r="A5475" t="s">
        <v>4676</v>
      </c>
      <c r="B5475" t="s">
        <v>184</v>
      </c>
    </row>
    <row r="5476" spans="1:2" x14ac:dyDescent="0.3">
      <c r="A5476" t="s">
        <v>4677</v>
      </c>
      <c r="B5476" t="s">
        <v>3306</v>
      </c>
    </row>
    <row r="5477" spans="1:2" x14ac:dyDescent="0.3">
      <c r="A5477" t="s">
        <v>4678</v>
      </c>
      <c r="B5477" t="s">
        <v>181</v>
      </c>
    </row>
    <row r="5478" spans="1:2" x14ac:dyDescent="0.3">
      <c r="A5478" t="s">
        <v>4679</v>
      </c>
      <c r="B5478" t="s">
        <v>181</v>
      </c>
    </row>
    <row r="5479" spans="1:2" x14ac:dyDescent="0.3">
      <c r="A5479" t="s">
        <v>4680</v>
      </c>
      <c r="B5479" t="s">
        <v>1</v>
      </c>
    </row>
    <row r="5480" spans="1:2" x14ac:dyDescent="0.3">
      <c r="A5480" t="s">
        <v>4681</v>
      </c>
      <c r="B5480" t="s">
        <v>202</v>
      </c>
    </row>
    <row r="5481" spans="1:2" x14ac:dyDescent="0.3">
      <c r="A5481" t="s">
        <v>4682</v>
      </c>
      <c r="B5481" t="s">
        <v>103</v>
      </c>
    </row>
    <row r="5482" spans="1:2" x14ac:dyDescent="0.3">
      <c r="A5482" t="s">
        <v>4683</v>
      </c>
      <c r="B5482" t="s">
        <v>176</v>
      </c>
    </row>
    <row r="5483" spans="1:2" x14ac:dyDescent="0.3">
      <c r="B5483" t="s">
        <v>199</v>
      </c>
    </row>
    <row r="5484" spans="1:2" x14ac:dyDescent="0.3">
      <c r="A5484" t="s">
        <v>4684</v>
      </c>
      <c r="B5484" t="s">
        <v>2149</v>
      </c>
    </row>
    <row r="5485" spans="1:2" x14ac:dyDescent="0.3">
      <c r="A5485" t="s">
        <v>4685</v>
      </c>
      <c r="B5485" t="s">
        <v>184</v>
      </c>
    </row>
    <row r="5486" spans="1:2" x14ac:dyDescent="0.3">
      <c r="A5486" t="s">
        <v>4686</v>
      </c>
      <c r="B5486" t="s">
        <v>184</v>
      </c>
    </row>
    <row r="5487" spans="1:2" x14ac:dyDescent="0.3">
      <c r="A5487" t="s">
        <v>4687</v>
      </c>
      <c r="B5487" t="s">
        <v>184</v>
      </c>
    </row>
    <row r="5488" spans="1:2" x14ac:dyDescent="0.3">
      <c r="A5488" t="s">
        <v>4688</v>
      </c>
      <c r="B5488" t="s">
        <v>184</v>
      </c>
    </row>
    <row r="5489" spans="1:2" x14ac:dyDescent="0.3">
      <c r="A5489" t="s">
        <v>4689</v>
      </c>
      <c r="B5489" t="s">
        <v>193</v>
      </c>
    </row>
    <row r="5490" spans="1:2" x14ac:dyDescent="0.3">
      <c r="A5490" t="s">
        <v>4690</v>
      </c>
      <c r="B5490" t="s">
        <v>176</v>
      </c>
    </row>
    <row r="5491" spans="1:2" x14ac:dyDescent="0.3">
      <c r="A5491" t="s">
        <v>4691</v>
      </c>
      <c r="B5491" t="s">
        <v>176</v>
      </c>
    </row>
    <row r="5492" spans="1:2" x14ac:dyDescent="0.3">
      <c r="A5492" t="s">
        <v>4692</v>
      </c>
      <c r="B5492" t="s">
        <v>1</v>
      </c>
    </row>
    <row r="5493" spans="1:2" x14ac:dyDescent="0.3">
      <c r="A5493" t="s">
        <v>4693</v>
      </c>
      <c r="B5493" t="s">
        <v>910</v>
      </c>
    </row>
    <row r="5494" spans="1:2" x14ac:dyDescent="0.3">
      <c r="A5494" t="s">
        <v>4694</v>
      </c>
      <c r="B5494" t="s">
        <v>173</v>
      </c>
    </row>
    <row r="5495" spans="1:2" x14ac:dyDescent="0.3">
      <c r="A5495" t="s">
        <v>4695</v>
      </c>
      <c r="B5495" t="s">
        <v>1</v>
      </c>
    </row>
    <row r="5496" spans="1:2" x14ac:dyDescent="0.3">
      <c r="A5496" t="s">
        <v>4696</v>
      </c>
      <c r="B5496" t="s">
        <v>172</v>
      </c>
    </row>
    <row r="5497" spans="1:2" x14ac:dyDescent="0.3">
      <c r="A5497" t="s">
        <v>4697</v>
      </c>
      <c r="B5497" t="s">
        <v>801</v>
      </c>
    </row>
    <row r="5498" spans="1:2" x14ac:dyDescent="0.3">
      <c r="A5498" t="s">
        <v>4698</v>
      </c>
      <c r="B5498" t="s">
        <v>1</v>
      </c>
    </row>
    <row r="5499" spans="1:2" x14ac:dyDescent="0.3">
      <c r="A5499" t="s">
        <v>4699</v>
      </c>
      <c r="B5499" t="s">
        <v>182</v>
      </c>
    </row>
    <row r="5500" spans="1:2" x14ac:dyDescent="0.3">
      <c r="A5500" t="s">
        <v>4700</v>
      </c>
      <c r="B5500" t="s">
        <v>166</v>
      </c>
    </row>
    <row r="5501" spans="1:2" x14ac:dyDescent="0.3">
      <c r="A5501" t="s">
        <v>4701</v>
      </c>
      <c r="B5501" t="s">
        <v>193</v>
      </c>
    </row>
    <row r="5502" spans="1:2" x14ac:dyDescent="0.3">
      <c r="A5502" t="s">
        <v>4702</v>
      </c>
      <c r="B5502" t="s">
        <v>1622</v>
      </c>
    </row>
    <row r="5503" spans="1:2" x14ac:dyDescent="0.3">
      <c r="A5503" t="s">
        <v>4703</v>
      </c>
      <c r="B5503" t="s">
        <v>1622</v>
      </c>
    </row>
    <row r="5504" spans="1:2" x14ac:dyDescent="0.3">
      <c r="A5504" t="s">
        <v>4704</v>
      </c>
      <c r="B5504" t="s">
        <v>196</v>
      </c>
    </row>
    <row r="5505" spans="1:2" x14ac:dyDescent="0.3">
      <c r="A5505" t="s">
        <v>4705</v>
      </c>
      <c r="B5505" t="s">
        <v>1</v>
      </c>
    </row>
    <row r="5506" spans="1:2" x14ac:dyDescent="0.3">
      <c r="A5506" t="s">
        <v>4706</v>
      </c>
      <c r="B5506" t="s">
        <v>172</v>
      </c>
    </row>
    <row r="5507" spans="1:2" x14ac:dyDescent="0.3">
      <c r="A5507" t="s">
        <v>4707</v>
      </c>
      <c r="B5507" t="s">
        <v>172</v>
      </c>
    </row>
    <row r="5508" spans="1:2" x14ac:dyDescent="0.3">
      <c r="A5508" t="s">
        <v>4708</v>
      </c>
      <c r="B5508" t="s">
        <v>193</v>
      </c>
    </row>
    <row r="5509" spans="1:2" x14ac:dyDescent="0.3">
      <c r="A5509" t="s">
        <v>4709</v>
      </c>
      <c r="B5509" t="s">
        <v>1</v>
      </c>
    </row>
    <row r="5510" spans="1:2" x14ac:dyDescent="0.3">
      <c r="A5510" t="s">
        <v>4710</v>
      </c>
      <c r="B5510" t="s">
        <v>1</v>
      </c>
    </row>
    <row r="5511" spans="1:2" x14ac:dyDescent="0.3">
      <c r="A5511" t="s">
        <v>4711</v>
      </c>
      <c r="B5511" t="s">
        <v>1</v>
      </c>
    </row>
    <row r="5512" spans="1:2" x14ac:dyDescent="0.3">
      <c r="A5512" t="s">
        <v>4712</v>
      </c>
      <c r="B5512" t="s">
        <v>1</v>
      </c>
    </row>
    <row r="5513" spans="1:2" x14ac:dyDescent="0.3">
      <c r="A5513" t="s">
        <v>4713</v>
      </c>
      <c r="B5513" t="s">
        <v>1</v>
      </c>
    </row>
    <row r="5514" spans="1:2" x14ac:dyDescent="0.3">
      <c r="A5514" t="s">
        <v>4714</v>
      </c>
      <c r="B5514" t="s">
        <v>1</v>
      </c>
    </row>
    <row r="5515" spans="1:2" x14ac:dyDescent="0.3">
      <c r="A5515" t="s">
        <v>4715</v>
      </c>
      <c r="B5515" t="s">
        <v>1</v>
      </c>
    </row>
    <row r="5516" spans="1:2" x14ac:dyDescent="0.3">
      <c r="A5516" t="s">
        <v>4716</v>
      </c>
      <c r="B5516" t="s">
        <v>1</v>
      </c>
    </row>
    <row r="5517" spans="1:2" x14ac:dyDescent="0.3">
      <c r="A5517" t="s">
        <v>4717</v>
      </c>
      <c r="B5517" t="s">
        <v>1</v>
      </c>
    </row>
    <row r="5518" spans="1:2" x14ac:dyDescent="0.3">
      <c r="A5518" t="s">
        <v>4718</v>
      </c>
      <c r="B5518" t="s">
        <v>1</v>
      </c>
    </row>
    <row r="5519" spans="1:2" x14ac:dyDescent="0.3">
      <c r="A5519" t="s">
        <v>4719</v>
      </c>
      <c r="B5519" t="s">
        <v>1</v>
      </c>
    </row>
    <row r="5520" spans="1:2" x14ac:dyDescent="0.3">
      <c r="A5520" t="s">
        <v>4720</v>
      </c>
      <c r="B5520" t="s">
        <v>1</v>
      </c>
    </row>
    <row r="5521" spans="1:2" x14ac:dyDescent="0.3">
      <c r="A5521" t="s">
        <v>4721</v>
      </c>
      <c r="B5521" t="s">
        <v>1</v>
      </c>
    </row>
    <row r="5522" spans="1:2" x14ac:dyDescent="0.3">
      <c r="A5522" t="s">
        <v>4722</v>
      </c>
      <c r="B5522" t="s">
        <v>1</v>
      </c>
    </row>
    <row r="5523" spans="1:2" x14ac:dyDescent="0.3">
      <c r="A5523" t="s">
        <v>4723</v>
      </c>
      <c r="B5523" t="s">
        <v>176</v>
      </c>
    </row>
    <row r="5524" spans="1:2" x14ac:dyDescent="0.3">
      <c r="B5524" t="s">
        <v>1447</v>
      </c>
    </row>
    <row r="5525" spans="1:2" x14ac:dyDescent="0.3">
      <c r="B5525" t="s">
        <v>1</v>
      </c>
    </row>
    <row r="5526" spans="1:2" x14ac:dyDescent="0.3">
      <c r="A5526" t="s">
        <v>4724</v>
      </c>
      <c r="B5526" t="s">
        <v>896</v>
      </c>
    </row>
    <row r="5527" spans="1:2" x14ac:dyDescent="0.3">
      <c r="B5527" t="s">
        <v>896</v>
      </c>
    </row>
    <row r="5528" spans="1:2" x14ac:dyDescent="0.3">
      <c r="A5528" t="s">
        <v>4725</v>
      </c>
      <c r="B5528" t="s">
        <v>759</v>
      </c>
    </row>
    <row r="5529" spans="1:2" x14ac:dyDescent="0.3">
      <c r="B5529" t="s">
        <v>896</v>
      </c>
    </row>
    <row r="5530" spans="1:2" x14ac:dyDescent="0.3">
      <c r="A5530" t="s">
        <v>4726</v>
      </c>
      <c r="B5530" t="s">
        <v>176</v>
      </c>
    </row>
    <row r="5531" spans="1:2" x14ac:dyDescent="0.3">
      <c r="A5531" t="s">
        <v>4727</v>
      </c>
      <c r="B5531" t="s">
        <v>176</v>
      </c>
    </row>
    <row r="5532" spans="1:2" x14ac:dyDescent="0.3">
      <c r="A5532" t="s">
        <v>4728</v>
      </c>
      <c r="B5532" t="s">
        <v>176</v>
      </c>
    </row>
    <row r="5533" spans="1:2" x14ac:dyDescent="0.3">
      <c r="A5533" t="s">
        <v>4729</v>
      </c>
      <c r="B5533" t="s">
        <v>1</v>
      </c>
    </row>
    <row r="5534" spans="1:2" x14ac:dyDescent="0.3">
      <c r="A5534" t="s">
        <v>4730</v>
      </c>
      <c r="B5534" t="s">
        <v>1</v>
      </c>
    </row>
    <row r="5535" spans="1:2" x14ac:dyDescent="0.3">
      <c r="A5535" t="s">
        <v>4731</v>
      </c>
      <c r="B5535" t="s">
        <v>1</v>
      </c>
    </row>
    <row r="5536" spans="1:2" x14ac:dyDescent="0.3">
      <c r="A5536" t="s">
        <v>4732</v>
      </c>
      <c r="B5536" t="s">
        <v>1</v>
      </c>
    </row>
    <row r="5537" spans="1:2" x14ac:dyDescent="0.3">
      <c r="A5537" t="s">
        <v>4733</v>
      </c>
      <c r="B5537" t="s">
        <v>1</v>
      </c>
    </row>
    <row r="5538" spans="1:2" x14ac:dyDescent="0.3">
      <c r="A5538" t="s">
        <v>4734</v>
      </c>
      <c r="B5538" t="s">
        <v>1</v>
      </c>
    </row>
    <row r="5539" spans="1:2" x14ac:dyDescent="0.3">
      <c r="A5539" t="s">
        <v>4735</v>
      </c>
      <c r="B5539" t="s">
        <v>1</v>
      </c>
    </row>
    <row r="5540" spans="1:2" x14ac:dyDescent="0.3">
      <c r="A5540" t="s">
        <v>4736</v>
      </c>
      <c r="B5540" t="s">
        <v>176</v>
      </c>
    </row>
    <row r="5541" spans="1:2" x14ac:dyDescent="0.3">
      <c r="A5541" t="s">
        <v>4737</v>
      </c>
      <c r="B5541" t="s">
        <v>176</v>
      </c>
    </row>
    <row r="5542" spans="1:2" x14ac:dyDescent="0.3">
      <c r="A5542" t="s">
        <v>4738</v>
      </c>
      <c r="B5542" t="s">
        <v>1</v>
      </c>
    </row>
    <row r="5543" spans="1:2" x14ac:dyDescent="0.3">
      <c r="A5543" t="s">
        <v>4739</v>
      </c>
      <c r="B5543" t="s">
        <v>1</v>
      </c>
    </row>
    <row r="5544" spans="1:2" x14ac:dyDescent="0.3">
      <c r="A5544" t="s">
        <v>3743</v>
      </c>
      <c r="B5544" t="s">
        <v>1694</v>
      </c>
    </row>
    <row r="5545" spans="1:2" x14ac:dyDescent="0.3">
      <c r="A5545" t="s">
        <v>4740</v>
      </c>
      <c r="B5545" t="s">
        <v>1</v>
      </c>
    </row>
    <row r="5546" spans="1:2" x14ac:dyDescent="0.3">
      <c r="A5546" t="s">
        <v>4741</v>
      </c>
      <c r="B5546" t="s">
        <v>166</v>
      </c>
    </row>
    <row r="5547" spans="1:2" x14ac:dyDescent="0.3">
      <c r="B5547" t="s">
        <v>166</v>
      </c>
    </row>
    <row r="5548" spans="1:2" x14ac:dyDescent="0.3">
      <c r="B5548" t="s">
        <v>292</v>
      </c>
    </row>
    <row r="5549" spans="1:2" x14ac:dyDescent="0.3">
      <c r="A5549" t="s">
        <v>4742</v>
      </c>
      <c r="B5549" t="s">
        <v>196</v>
      </c>
    </row>
    <row r="5550" spans="1:2" x14ac:dyDescent="0.3">
      <c r="B5550" t="s">
        <v>102</v>
      </c>
    </row>
    <row r="5551" spans="1:2" x14ac:dyDescent="0.3">
      <c r="B5551" t="s">
        <v>193</v>
      </c>
    </row>
    <row r="5552" spans="1:2" x14ac:dyDescent="0.3">
      <c r="A5552" t="s">
        <v>4743</v>
      </c>
      <c r="B5552" t="s">
        <v>72</v>
      </c>
    </row>
    <row r="5553" spans="1:2" x14ac:dyDescent="0.3">
      <c r="A5553" t="s">
        <v>4744</v>
      </c>
      <c r="B5553" t="s">
        <v>285</v>
      </c>
    </row>
    <row r="5554" spans="1:2" x14ac:dyDescent="0.3">
      <c r="A5554" t="s">
        <v>4745</v>
      </c>
      <c r="B5554" t="s">
        <v>285</v>
      </c>
    </row>
    <row r="5555" spans="1:2" x14ac:dyDescent="0.3">
      <c r="A5555" t="s">
        <v>4746</v>
      </c>
      <c r="B5555" t="s">
        <v>285</v>
      </c>
    </row>
    <row r="5556" spans="1:2" x14ac:dyDescent="0.3">
      <c r="A5556" t="s">
        <v>4747</v>
      </c>
      <c r="B5556" t="s">
        <v>285</v>
      </c>
    </row>
    <row r="5557" spans="1:2" x14ac:dyDescent="0.3">
      <c r="A5557" t="s">
        <v>4748</v>
      </c>
      <c r="B5557" t="s">
        <v>285</v>
      </c>
    </row>
    <row r="5558" spans="1:2" x14ac:dyDescent="0.3">
      <c r="A5558" t="s">
        <v>4749</v>
      </c>
      <c r="B5558" t="s">
        <v>285</v>
      </c>
    </row>
    <row r="5559" spans="1:2" x14ac:dyDescent="0.3">
      <c r="A5559" t="s">
        <v>4750</v>
      </c>
      <c r="B5559" t="s">
        <v>285</v>
      </c>
    </row>
    <row r="5560" spans="1:2" x14ac:dyDescent="0.3">
      <c r="A5560" t="s">
        <v>4751</v>
      </c>
      <c r="B5560" t="s">
        <v>285</v>
      </c>
    </row>
    <row r="5561" spans="1:2" x14ac:dyDescent="0.3">
      <c r="B5561" t="s">
        <v>263</v>
      </c>
    </row>
    <row r="5562" spans="1:2" x14ac:dyDescent="0.3">
      <c r="A5562" t="s">
        <v>4752</v>
      </c>
      <c r="B5562" t="s">
        <v>170</v>
      </c>
    </row>
    <row r="5563" spans="1:2" x14ac:dyDescent="0.3">
      <c r="A5563" t="s">
        <v>4753</v>
      </c>
      <c r="B5563" t="s">
        <v>2353</v>
      </c>
    </row>
    <row r="5564" spans="1:2" x14ac:dyDescent="0.3">
      <c r="B5564" t="s">
        <v>801</v>
      </c>
    </row>
    <row r="5565" spans="1:2" x14ac:dyDescent="0.3">
      <c r="B5565" t="s">
        <v>801</v>
      </c>
    </row>
    <row r="5566" spans="1:2" x14ac:dyDescent="0.3">
      <c r="A5566" t="s">
        <v>4754</v>
      </c>
      <c r="B5566" t="s">
        <v>1</v>
      </c>
    </row>
    <row r="5567" spans="1:2" x14ac:dyDescent="0.3">
      <c r="A5567" t="s">
        <v>4755</v>
      </c>
      <c r="B5567" t="s">
        <v>2353</v>
      </c>
    </row>
    <row r="5568" spans="1:2" x14ac:dyDescent="0.3">
      <c r="A5568" t="s">
        <v>4756</v>
      </c>
      <c r="B5568" t="s">
        <v>1743</v>
      </c>
    </row>
    <row r="5569" spans="1:2" x14ac:dyDescent="0.3">
      <c r="A5569" t="s">
        <v>4757</v>
      </c>
      <c r="B5569" t="s">
        <v>1</v>
      </c>
    </row>
    <row r="5570" spans="1:2" x14ac:dyDescent="0.3">
      <c r="A5570" t="s">
        <v>4758</v>
      </c>
      <c r="B5570" t="s">
        <v>1</v>
      </c>
    </row>
    <row r="5571" spans="1:2" x14ac:dyDescent="0.3">
      <c r="A5571" t="s">
        <v>4759</v>
      </c>
      <c r="B5571" t="s">
        <v>1</v>
      </c>
    </row>
    <row r="5572" spans="1:2" x14ac:dyDescent="0.3">
      <c r="B5572" t="s">
        <v>1</v>
      </c>
    </row>
    <row r="5573" spans="1:2" x14ac:dyDescent="0.3">
      <c r="B5573" t="s">
        <v>1</v>
      </c>
    </row>
    <row r="5574" spans="1:2" x14ac:dyDescent="0.3">
      <c r="B5574" t="s">
        <v>199</v>
      </c>
    </row>
    <row r="5575" spans="1:2" x14ac:dyDescent="0.3">
      <c r="A5575" t="s">
        <v>4760</v>
      </c>
      <c r="B5575" t="s">
        <v>1</v>
      </c>
    </row>
    <row r="5576" spans="1:2" x14ac:dyDescent="0.3">
      <c r="A5576" t="s">
        <v>4761</v>
      </c>
      <c r="B5576" t="s">
        <v>1</v>
      </c>
    </row>
    <row r="5577" spans="1:2" x14ac:dyDescent="0.3">
      <c r="A5577" t="s">
        <v>4762</v>
      </c>
      <c r="B5577" t="s">
        <v>1</v>
      </c>
    </row>
    <row r="5578" spans="1:2" x14ac:dyDescent="0.3">
      <c r="A5578" t="s">
        <v>4763</v>
      </c>
      <c r="B5578" t="s">
        <v>1</v>
      </c>
    </row>
    <row r="5579" spans="1:2" x14ac:dyDescent="0.3">
      <c r="A5579" t="s">
        <v>4764</v>
      </c>
      <c r="B5579" t="s">
        <v>1</v>
      </c>
    </row>
    <row r="5580" spans="1:2" x14ac:dyDescent="0.3">
      <c r="A5580" t="s">
        <v>4765</v>
      </c>
      <c r="B5580" t="s">
        <v>166</v>
      </c>
    </row>
    <row r="5581" spans="1:2" x14ac:dyDescent="0.3">
      <c r="B5581" t="s">
        <v>2390</v>
      </c>
    </row>
    <row r="5582" spans="1:2" x14ac:dyDescent="0.3">
      <c r="A5582" t="s">
        <v>4766</v>
      </c>
      <c r="B5582" t="s">
        <v>170</v>
      </c>
    </row>
    <row r="5583" spans="1:2" x14ac:dyDescent="0.3">
      <c r="A5583" t="s">
        <v>4767</v>
      </c>
      <c r="B5583" t="s">
        <v>1</v>
      </c>
    </row>
    <row r="5584" spans="1:2" x14ac:dyDescent="0.3">
      <c r="A5584" t="s">
        <v>4768</v>
      </c>
      <c r="B5584" t="s">
        <v>1</v>
      </c>
    </row>
    <row r="5585" spans="1:2" x14ac:dyDescent="0.3">
      <c r="A5585" t="s">
        <v>4769</v>
      </c>
      <c r="B5585" t="s">
        <v>1</v>
      </c>
    </row>
    <row r="5586" spans="1:2" x14ac:dyDescent="0.3">
      <c r="A5586" t="s">
        <v>4770</v>
      </c>
      <c r="B5586" t="s">
        <v>1</v>
      </c>
    </row>
    <row r="5587" spans="1:2" x14ac:dyDescent="0.3">
      <c r="B5587" t="s">
        <v>263</v>
      </c>
    </row>
    <row r="5588" spans="1:2" x14ac:dyDescent="0.3">
      <c r="A5588" t="s">
        <v>4771</v>
      </c>
      <c r="B5588" t="s">
        <v>1</v>
      </c>
    </row>
    <row r="5589" spans="1:2" x14ac:dyDescent="0.3">
      <c r="A5589" t="s">
        <v>4772</v>
      </c>
      <c r="B5589" t="s">
        <v>172</v>
      </c>
    </row>
    <row r="5590" spans="1:2" x14ac:dyDescent="0.3">
      <c r="A5590" t="s">
        <v>4773</v>
      </c>
      <c r="B5590" t="s">
        <v>1</v>
      </c>
    </row>
    <row r="5591" spans="1:2" x14ac:dyDescent="0.3">
      <c r="A5591" t="s">
        <v>4774</v>
      </c>
      <c r="B5591" t="s">
        <v>1</v>
      </c>
    </row>
    <row r="5592" spans="1:2" x14ac:dyDescent="0.3">
      <c r="A5592" t="s">
        <v>4775</v>
      </c>
      <c r="B5592" t="s">
        <v>1</v>
      </c>
    </row>
    <row r="5593" spans="1:2" x14ac:dyDescent="0.3">
      <c r="A5593" t="s">
        <v>4776</v>
      </c>
      <c r="B5593" t="s">
        <v>1</v>
      </c>
    </row>
    <row r="5594" spans="1:2" x14ac:dyDescent="0.3">
      <c r="A5594" t="s">
        <v>4777</v>
      </c>
      <c r="B5594" t="s">
        <v>1</v>
      </c>
    </row>
    <row r="5595" spans="1:2" x14ac:dyDescent="0.3">
      <c r="A5595" t="s">
        <v>4778</v>
      </c>
      <c r="B5595" t="s">
        <v>1</v>
      </c>
    </row>
    <row r="5596" spans="1:2" x14ac:dyDescent="0.3">
      <c r="A5596" t="s">
        <v>4779</v>
      </c>
      <c r="B5596" t="s">
        <v>1</v>
      </c>
    </row>
    <row r="5597" spans="1:2" x14ac:dyDescent="0.3">
      <c r="A5597" t="s">
        <v>4780</v>
      </c>
      <c r="B5597" t="s">
        <v>1</v>
      </c>
    </row>
    <row r="5598" spans="1:2" x14ac:dyDescent="0.3">
      <c r="A5598" t="s">
        <v>4781</v>
      </c>
      <c r="B5598" t="s">
        <v>1</v>
      </c>
    </row>
    <row r="5599" spans="1:2" x14ac:dyDescent="0.3">
      <c r="A5599" t="s">
        <v>4782</v>
      </c>
      <c r="B5599" t="s">
        <v>172</v>
      </c>
    </row>
    <row r="5600" spans="1:2" x14ac:dyDescent="0.3">
      <c r="A5600" t="s">
        <v>4783</v>
      </c>
      <c r="B5600" t="s">
        <v>1</v>
      </c>
    </row>
    <row r="5601" spans="1:2" x14ac:dyDescent="0.3">
      <c r="A5601" t="s">
        <v>4784</v>
      </c>
      <c r="B5601" t="s">
        <v>172</v>
      </c>
    </row>
    <row r="5602" spans="1:2" x14ac:dyDescent="0.3">
      <c r="A5602" t="s">
        <v>4785</v>
      </c>
      <c r="B5602" t="s">
        <v>1</v>
      </c>
    </row>
    <row r="5603" spans="1:2" x14ac:dyDescent="0.3">
      <c r="A5603" t="s">
        <v>4786</v>
      </c>
      <c r="B5603" t="s">
        <v>1</v>
      </c>
    </row>
    <row r="5604" spans="1:2" x14ac:dyDescent="0.3">
      <c r="A5604" t="s">
        <v>4787</v>
      </c>
      <c r="B5604" t="s">
        <v>263</v>
      </c>
    </row>
    <row r="5605" spans="1:2" x14ac:dyDescent="0.3">
      <c r="A5605" t="s">
        <v>4788</v>
      </c>
      <c r="B5605" t="s">
        <v>1</v>
      </c>
    </row>
    <row r="5606" spans="1:2" x14ac:dyDescent="0.3">
      <c r="A5606" t="s">
        <v>4789</v>
      </c>
      <c r="B5606" t="s">
        <v>280</v>
      </c>
    </row>
    <row r="5607" spans="1:2" x14ac:dyDescent="0.3">
      <c r="A5607" t="s">
        <v>4790</v>
      </c>
      <c r="B5607" t="s">
        <v>216</v>
      </c>
    </row>
    <row r="5608" spans="1:2" x14ac:dyDescent="0.3">
      <c r="B5608" t="s">
        <v>263</v>
      </c>
    </row>
    <row r="5609" spans="1:2" x14ac:dyDescent="0.3">
      <c r="B5609" t="s">
        <v>263</v>
      </c>
    </row>
    <row r="5610" spans="1:2" x14ac:dyDescent="0.3">
      <c r="A5610" t="s">
        <v>4791</v>
      </c>
      <c r="B5610" t="s">
        <v>166</v>
      </c>
    </row>
    <row r="5611" spans="1:2" x14ac:dyDescent="0.3">
      <c r="B5611" t="s">
        <v>216</v>
      </c>
    </row>
    <row r="5612" spans="1:2" x14ac:dyDescent="0.3">
      <c r="A5612" t="s">
        <v>4792</v>
      </c>
      <c r="B5612" t="s">
        <v>1</v>
      </c>
    </row>
    <row r="5613" spans="1:2" x14ac:dyDescent="0.3">
      <c r="A5613" t="s">
        <v>4793</v>
      </c>
      <c r="B5613" t="s">
        <v>1762</v>
      </c>
    </row>
    <row r="5614" spans="1:2" x14ac:dyDescent="0.3">
      <c r="B5614" t="s">
        <v>77</v>
      </c>
    </row>
    <row r="5615" spans="1:2" x14ac:dyDescent="0.3">
      <c r="A5615" t="s">
        <v>4794</v>
      </c>
      <c r="B5615" t="s">
        <v>1</v>
      </c>
    </row>
    <row r="5616" spans="1:2" x14ac:dyDescent="0.3">
      <c r="B5616" t="s">
        <v>1</v>
      </c>
    </row>
    <row r="5617" spans="1:2" x14ac:dyDescent="0.3">
      <c r="B5617" t="s">
        <v>1</v>
      </c>
    </row>
    <row r="5618" spans="1:2" x14ac:dyDescent="0.3">
      <c r="A5618" t="s">
        <v>4795</v>
      </c>
      <c r="B5618" t="s">
        <v>166</v>
      </c>
    </row>
    <row r="5619" spans="1:2" x14ac:dyDescent="0.3">
      <c r="A5619" t="s">
        <v>4796</v>
      </c>
      <c r="B5619" t="s">
        <v>1</v>
      </c>
    </row>
    <row r="5620" spans="1:2" x14ac:dyDescent="0.3">
      <c r="A5620" t="s">
        <v>4797</v>
      </c>
      <c r="B5620" t="s">
        <v>1</v>
      </c>
    </row>
    <row r="5621" spans="1:2" x14ac:dyDescent="0.3">
      <c r="A5621" t="s">
        <v>4798</v>
      </c>
      <c r="B5621" t="s">
        <v>1</v>
      </c>
    </row>
    <row r="5622" spans="1:2" x14ac:dyDescent="0.3">
      <c r="A5622" t="s">
        <v>4799</v>
      </c>
      <c r="B5622" t="s">
        <v>1</v>
      </c>
    </row>
    <row r="5623" spans="1:2" x14ac:dyDescent="0.3">
      <c r="B5623" t="s">
        <v>183</v>
      </c>
    </row>
    <row r="5624" spans="1:2" x14ac:dyDescent="0.3">
      <c r="A5624" t="s">
        <v>4800</v>
      </c>
      <c r="B5624" t="s">
        <v>72</v>
      </c>
    </row>
    <row r="5625" spans="1:2" x14ac:dyDescent="0.3">
      <c r="A5625" t="s">
        <v>4801</v>
      </c>
      <c r="B5625" t="s">
        <v>1</v>
      </c>
    </row>
    <row r="5626" spans="1:2" x14ac:dyDescent="0.3">
      <c r="A5626" t="s">
        <v>3033</v>
      </c>
      <c r="B5626" t="s">
        <v>1</v>
      </c>
    </row>
    <row r="5627" spans="1:2" x14ac:dyDescent="0.3">
      <c r="A5627" t="s">
        <v>4802</v>
      </c>
      <c r="B5627" t="s">
        <v>103</v>
      </c>
    </row>
    <row r="5628" spans="1:2" x14ac:dyDescent="0.3">
      <c r="A5628" t="s">
        <v>4803</v>
      </c>
      <c r="B5628" t="s">
        <v>1</v>
      </c>
    </row>
    <row r="5629" spans="1:2" x14ac:dyDescent="0.3">
      <c r="A5629" t="s">
        <v>4804</v>
      </c>
      <c r="B5629" t="s">
        <v>176</v>
      </c>
    </row>
    <row r="5630" spans="1:2" x14ac:dyDescent="0.3">
      <c r="A5630" t="s">
        <v>4805</v>
      </c>
      <c r="B5630" t="s">
        <v>1</v>
      </c>
    </row>
    <row r="5631" spans="1:2" x14ac:dyDescent="0.3">
      <c r="A5631" t="s">
        <v>4806</v>
      </c>
      <c r="B5631" t="s">
        <v>1</v>
      </c>
    </row>
    <row r="5632" spans="1:2" x14ac:dyDescent="0.3">
      <c r="B5632" t="s">
        <v>1</v>
      </c>
    </row>
    <row r="5633" spans="1:2" x14ac:dyDescent="0.3">
      <c r="A5633" t="s">
        <v>4807</v>
      </c>
      <c r="B5633" t="s">
        <v>1</v>
      </c>
    </row>
    <row r="5634" spans="1:2" x14ac:dyDescent="0.3">
      <c r="A5634" t="s">
        <v>4808</v>
      </c>
      <c r="B5634" t="s">
        <v>1</v>
      </c>
    </row>
    <row r="5635" spans="1:2" x14ac:dyDescent="0.3">
      <c r="A5635" t="s">
        <v>4809</v>
      </c>
      <c r="B5635" t="s">
        <v>1</v>
      </c>
    </row>
    <row r="5636" spans="1:2" x14ac:dyDescent="0.3">
      <c r="A5636" t="s">
        <v>4810</v>
      </c>
      <c r="B5636" t="s">
        <v>1</v>
      </c>
    </row>
    <row r="5637" spans="1:2" x14ac:dyDescent="0.3">
      <c r="A5637" t="s">
        <v>4811</v>
      </c>
      <c r="B5637" t="s">
        <v>172</v>
      </c>
    </row>
    <row r="5638" spans="1:2" x14ac:dyDescent="0.3">
      <c r="A5638" t="s">
        <v>4812</v>
      </c>
      <c r="B5638" t="s">
        <v>1</v>
      </c>
    </row>
    <row r="5639" spans="1:2" x14ac:dyDescent="0.3">
      <c r="A5639" t="s">
        <v>4813</v>
      </c>
      <c r="B5639" t="s">
        <v>1</v>
      </c>
    </row>
    <row r="5640" spans="1:2" x14ac:dyDescent="0.3">
      <c r="A5640" t="s">
        <v>4814</v>
      </c>
      <c r="B5640" t="s">
        <v>1</v>
      </c>
    </row>
    <row r="5641" spans="1:2" x14ac:dyDescent="0.3">
      <c r="A5641" t="s">
        <v>4815</v>
      </c>
      <c r="B5641" t="s">
        <v>1</v>
      </c>
    </row>
    <row r="5642" spans="1:2" x14ac:dyDescent="0.3">
      <c r="A5642" t="s">
        <v>4816</v>
      </c>
      <c r="B5642" t="s">
        <v>1</v>
      </c>
    </row>
    <row r="5643" spans="1:2" x14ac:dyDescent="0.3">
      <c r="A5643" t="s">
        <v>4817</v>
      </c>
      <c r="B5643" t="s">
        <v>1</v>
      </c>
    </row>
    <row r="5644" spans="1:2" x14ac:dyDescent="0.3">
      <c r="A5644" t="s">
        <v>2314</v>
      </c>
      <c r="B5644" t="s">
        <v>1</v>
      </c>
    </row>
    <row r="5645" spans="1:2" x14ac:dyDescent="0.3">
      <c r="A5645" t="s">
        <v>4818</v>
      </c>
      <c r="B5645" t="s">
        <v>1</v>
      </c>
    </row>
    <row r="5646" spans="1:2" x14ac:dyDescent="0.3">
      <c r="A5646" t="s">
        <v>4819</v>
      </c>
      <c r="B5646" t="s">
        <v>1</v>
      </c>
    </row>
    <row r="5647" spans="1:2" x14ac:dyDescent="0.3">
      <c r="A5647" t="s">
        <v>4820</v>
      </c>
      <c r="B5647" t="s">
        <v>1</v>
      </c>
    </row>
    <row r="5648" spans="1:2" x14ac:dyDescent="0.3">
      <c r="A5648" t="s">
        <v>4821</v>
      </c>
      <c r="B5648" t="s">
        <v>1</v>
      </c>
    </row>
    <row r="5649" spans="1:2" x14ac:dyDescent="0.3">
      <c r="A5649" t="s">
        <v>4822</v>
      </c>
      <c r="B5649" t="s">
        <v>1</v>
      </c>
    </row>
    <row r="5650" spans="1:2" x14ac:dyDescent="0.3">
      <c r="A5650" t="s">
        <v>4823</v>
      </c>
      <c r="B5650" t="s">
        <v>1</v>
      </c>
    </row>
    <row r="5651" spans="1:2" x14ac:dyDescent="0.3">
      <c r="A5651" t="s">
        <v>4824</v>
      </c>
      <c r="B5651" t="s">
        <v>1</v>
      </c>
    </row>
    <row r="5652" spans="1:2" x14ac:dyDescent="0.3">
      <c r="A5652" t="s">
        <v>4825</v>
      </c>
      <c r="B5652" t="s">
        <v>1</v>
      </c>
    </row>
    <row r="5653" spans="1:2" x14ac:dyDescent="0.3">
      <c r="A5653" t="s">
        <v>4826</v>
      </c>
      <c r="B5653" t="s">
        <v>1</v>
      </c>
    </row>
    <row r="5654" spans="1:2" x14ac:dyDescent="0.3">
      <c r="A5654" t="s">
        <v>4827</v>
      </c>
      <c r="B5654" t="s">
        <v>1</v>
      </c>
    </row>
    <row r="5655" spans="1:2" x14ac:dyDescent="0.3">
      <c r="A5655" t="s">
        <v>4828</v>
      </c>
      <c r="B5655" t="s">
        <v>1</v>
      </c>
    </row>
    <row r="5656" spans="1:2" x14ac:dyDescent="0.3">
      <c r="A5656" t="s">
        <v>4829</v>
      </c>
      <c r="B5656" t="s">
        <v>1</v>
      </c>
    </row>
    <row r="5657" spans="1:2" x14ac:dyDescent="0.3">
      <c r="A5657" t="s">
        <v>4830</v>
      </c>
      <c r="B5657" t="s">
        <v>1</v>
      </c>
    </row>
    <row r="5658" spans="1:2" x14ac:dyDescent="0.3">
      <c r="A5658" t="s">
        <v>4831</v>
      </c>
      <c r="B5658" t="s">
        <v>1</v>
      </c>
    </row>
    <row r="5659" spans="1:2" x14ac:dyDescent="0.3">
      <c r="A5659" t="s">
        <v>4832</v>
      </c>
      <c r="B5659" t="s">
        <v>1</v>
      </c>
    </row>
    <row r="5660" spans="1:2" x14ac:dyDescent="0.3">
      <c r="A5660" t="s">
        <v>4833</v>
      </c>
      <c r="B5660" t="s">
        <v>1</v>
      </c>
    </row>
    <row r="5661" spans="1:2" x14ac:dyDescent="0.3">
      <c r="A5661" t="s">
        <v>4834</v>
      </c>
      <c r="B5661" t="s">
        <v>1</v>
      </c>
    </row>
    <row r="5662" spans="1:2" x14ac:dyDescent="0.3">
      <c r="A5662" t="s">
        <v>4835</v>
      </c>
      <c r="B5662" t="s">
        <v>1</v>
      </c>
    </row>
    <row r="5663" spans="1:2" x14ac:dyDescent="0.3">
      <c r="A5663" t="s">
        <v>4836</v>
      </c>
      <c r="B5663" t="s">
        <v>1</v>
      </c>
    </row>
    <row r="5664" spans="1:2" x14ac:dyDescent="0.3">
      <c r="A5664" t="s">
        <v>4837</v>
      </c>
      <c r="B5664" t="s">
        <v>1</v>
      </c>
    </row>
    <row r="5665" spans="1:2" x14ac:dyDescent="0.3">
      <c r="A5665" t="s">
        <v>4838</v>
      </c>
      <c r="B5665" t="s">
        <v>1</v>
      </c>
    </row>
    <row r="5666" spans="1:2" x14ac:dyDescent="0.3">
      <c r="A5666" t="s">
        <v>4839</v>
      </c>
      <c r="B5666" t="s">
        <v>1</v>
      </c>
    </row>
    <row r="5667" spans="1:2" x14ac:dyDescent="0.3">
      <c r="A5667" t="s">
        <v>4840</v>
      </c>
      <c r="B5667" t="s">
        <v>1</v>
      </c>
    </row>
    <row r="5668" spans="1:2" x14ac:dyDescent="0.3">
      <c r="A5668" t="s">
        <v>4841</v>
      </c>
      <c r="B5668" t="s">
        <v>1</v>
      </c>
    </row>
    <row r="5669" spans="1:2" x14ac:dyDescent="0.3">
      <c r="A5669" t="s">
        <v>4842</v>
      </c>
      <c r="B5669" t="s">
        <v>1</v>
      </c>
    </row>
    <row r="5670" spans="1:2" x14ac:dyDescent="0.3">
      <c r="A5670" t="s">
        <v>4843</v>
      </c>
      <c r="B5670" t="s">
        <v>1</v>
      </c>
    </row>
    <row r="5671" spans="1:2" x14ac:dyDescent="0.3">
      <c r="A5671" t="s">
        <v>4844</v>
      </c>
      <c r="B5671" t="s">
        <v>1</v>
      </c>
    </row>
    <row r="5672" spans="1:2" x14ac:dyDescent="0.3">
      <c r="A5672" t="s">
        <v>203</v>
      </c>
      <c r="B5672" t="s">
        <v>1</v>
      </c>
    </row>
    <row r="5673" spans="1:2" x14ac:dyDescent="0.3">
      <c r="A5673" t="s">
        <v>4845</v>
      </c>
      <c r="B5673" t="s">
        <v>1</v>
      </c>
    </row>
    <row r="5674" spans="1:2" x14ac:dyDescent="0.3">
      <c r="A5674" t="s">
        <v>4846</v>
      </c>
      <c r="B5674" t="s">
        <v>1</v>
      </c>
    </row>
    <row r="5675" spans="1:2" x14ac:dyDescent="0.3">
      <c r="A5675" t="s">
        <v>4847</v>
      </c>
      <c r="B5675" t="s">
        <v>1</v>
      </c>
    </row>
    <row r="5676" spans="1:2" x14ac:dyDescent="0.3">
      <c r="A5676" t="s">
        <v>4848</v>
      </c>
      <c r="B5676" t="s">
        <v>1</v>
      </c>
    </row>
    <row r="5677" spans="1:2" x14ac:dyDescent="0.3">
      <c r="A5677" t="s">
        <v>4849</v>
      </c>
      <c r="B5677" t="s">
        <v>1</v>
      </c>
    </row>
    <row r="5678" spans="1:2" x14ac:dyDescent="0.3">
      <c r="A5678" t="s">
        <v>4850</v>
      </c>
      <c r="B5678" t="s">
        <v>1</v>
      </c>
    </row>
    <row r="5679" spans="1:2" x14ac:dyDescent="0.3">
      <c r="A5679" t="s">
        <v>4851</v>
      </c>
      <c r="B5679" t="s">
        <v>1</v>
      </c>
    </row>
    <row r="5680" spans="1:2" x14ac:dyDescent="0.3">
      <c r="A5680" t="s">
        <v>4852</v>
      </c>
      <c r="B5680" t="s">
        <v>1</v>
      </c>
    </row>
    <row r="5681" spans="1:2" x14ac:dyDescent="0.3">
      <c r="A5681" t="s">
        <v>4853</v>
      </c>
      <c r="B5681" t="s">
        <v>1</v>
      </c>
    </row>
    <row r="5682" spans="1:2" x14ac:dyDescent="0.3">
      <c r="A5682" t="s">
        <v>4854</v>
      </c>
      <c r="B5682" t="s">
        <v>1</v>
      </c>
    </row>
    <row r="5683" spans="1:2" x14ac:dyDescent="0.3">
      <c r="A5683" t="s">
        <v>4855</v>
      </c>
      <c r="B5683" t="s">
        <v>1</v>
      </c>
    </row>
    <row r="5684" spans="1:2" x14ac:dyDescent="0.3">
      <c r="A5684" t="s">
        <v>4856</v>
      </c>
      <c r="B5684" t="s">
        <v>1</v>
      </c>
    </row>
    <row r="5685" spans="1:2" x14ac:dyDescent="0.3">
      <c r="A5685" t="s">
        <v>4857</v>
      </c>
      <c r="B5685" t="s">
        <v>1</v>
      </c>
    </row>
    <row r="5686" spans="1:2" x14ac:dyDescent="0.3">
      <c r="A5686" t="s">
        <v>23</v>
      </c>
      <c r="B5686" t="s">
        <v>1</v>
      </c>
    </row>
    <row r="5687" spans="1:2" x14ac:dyDescent="0.3">
      <c r="A5687" t="s">
        <v>4858</v>
      </c>
      <c r="B5687" t="s">
        <v>1</v>
      </c>
    </row>
    <row r="5688" spans="1:2" x14ac:dyDescent="0.3">
      <c r="A5688" t="s">
        <v>4859</v>
      </c>
      <c r="B5688" t="s">
        <v>1</v>
      </c>
    </row>
    <row r="5689" spans="1:2" x14ac:dyDescent="0.3">
      <c r="A5689" t="s">
        <v>4860</v>
      </c>
      <c r="B5689" t="s">
        <v>1</v>
      </c>
    </row>
    <row r="5690" spans="1:2" x14ac:dyDescent="0.3">
      <c r="A5690" t="s">
        <v>4861</v>
      </c>
      <c r="B5690" t="s">
        <v>1</v>
      </c>
    </row>
    <row r="5691" spans="1:2" x14ac:dyDescent="0.3">
      <c r="A5691" t="s">
        <v>4862</v>
      </c>
      <c r="B5691" t="s">
        <v>1</v>
      </c>
    </row>
    <row r="5692" spans="1:2" x14ac:dyDescent="0.3">
      <c r="A5692" t="s">
        <v>4863</v>
      </c>
      <c r="B5692" t="s">
        <v>1</v>
      </c>
    </row>
    <row r="5693" spans="1:2" x14ac:dyDescent="0.3">
      <c r="A5693" t="s">
        <v>4864</v>
      </c>
      <c r="B5693" t="s">
        <v>1</v>
      </c>
    </row>
    <row r="5694" spans="1:2" x14ac:dyDescent="0.3">
      <c r="A5694" t="s">
        <v>4865</v>
      </c>
      <c r="B5694" t="s">
        <v>1</v>
      </c>
    </row>
    <row r="5695" spans="1:2" x14ac:dyDescent="0.3">
      <c r="A5695" t="s">
        <v>4866</v>
      </c>
      <c r="B5695" t="s">
        <v>1</v>
      </c>
    </row>
    <row r="5696" spans="1:2" x14ac:dyDescent="0.3">
      <c r="A5696" t="s">
        <v>4867</v>
      </c>
      <c r="B5696" t="s">
        <v>1</v>
      </c>
    </row>
    <row r="5697" spans="1:2" x14ac:dyDescent="0.3">
      <c r="A5697" t="s">
        <v>4868</v>
      </c>
      <c r="B5697" t="s">
        <v>1</v>
      </c>
    </row>
    <row r="5698" spans="1:2" x14ac:dyDescent="0.3">
      <c r="A5698" t="s">
        <v>4869</v>
      </c>
      <c r="B5698" t="s">
        <v>1</v>
      </c>
    </row>
    <row r="5699" spans="1:2" x14ac:dyDescent="0.3">
      <c r="A5699" t="s">
        <v>4870</v>
      </c>
      <c r="B5699" t="s">
        <v>1</v>
      </c>
    </row>
    <row r="5700" spans="1:2" x14ac:dyDescent="0.3">
      <c r="A5700" t="s">
        <v>4871</v>
      </c>
      <c r="B5700" t="s">
        <v>1779</v>
      </c>
    </row>
    <row r="5701" spans="1:2" x14ac:dyDescent="0.3">
      <c r="B5701" t="s">
        <v>1779</v>
      </c>
    </row>
    <row r="5702" spans="1:2" x14ac:dyDescent="0.3">
      <c r="A5702" t="s">
        <v>4872</v>
      </c>
      <c r="B5702" t="s">
        <v>182</v>
      </c>
    </row>
    <row r="5703" spans="1:2" x14ac:dyDescent="0.3">
      <c r="B5703" t="s">
        <v>1</v>
      </c>
    </row>
    <row r="5704" spans="1:2" x14ac:dyDescent="0.3">
      <c r="B5704" t="s">
        <v>1</v>
      </c>
    </row>
    <row r="5705" spans="1:2" x14ac:dyDescent="0.3">
      <c r="A5705" t="s">
        <v>4873</v>
      </c>
      <c r="B5705" t="s">
        <v>171</v>
      </c>
    </row>
    <row r="5706" spans="1:2" x14ac:dyDescent="0.3">
      <c r="B5706" t="s">
        <v>171</v>
      </c>
    </row>
    <row r="5707" spans="1:2" x14ac:dyDescent="0.3">
      <c r="B5707" t="s">
        <v>171</v>
      </c>
    </row>
    <row r="5708" spans="1:2" x14ac:dyDescent="0.3">
      <c r="A5708" t="s">
        <v>4874</v>
      </c>
      <c r="B5708" t="s">
        <v>2324</v>
      </c>
    </row>
    <row r="5709" spans="1:2" x14ac:dyDescent="0.3">
      <c r="B5709" t="s">
        <v>72</v>
      </c>
    </row>
    <row r="5710" spans="1:2" x14ac:dyDescent="0.3">
      <c r="B5710" t="s">
        <v>72</v>
      </c>
    </row>
    <row r="5711" spans="1:2" x14ac:dyDescent="0.3">
      <c r="B5711" t="s">
        <v>72</v>
      </c>
    </row>
    <row r="5712" spans="1:2" x14ac:dyDescent="0.3">
      <c r="A5712" t="s">
        <v>4875</v>
      </c>
      <c r="B5712" t="s">
        <v>1</v>
      </c>
    </row>
    <row r="5713" spans="1:2" x14ac:dyDescent="0.3">
      <c r="A5713" t="s">
        <v>4876</v>
      </c>
      <c r="B5713" t="s">
        <v>1</v>
      </c>
    </row>
    <row r="5714" spans="1:2" x14ac:dyDescent="0.3">
      <c r="A5714" t="s">
        <v>4877</v>
      </c>
      <c r="B5714" t="s">
        <v>1</v>
      </c>
    </row>
    <row r="5715" spans="1:2" x14ac:dyDescent="0.3">
      <c r="A5715" t="s">
        <v>4878</v>
      </c>
      <c r="B5715" t="s">
        <v>1</v>
      </c>
    </row>
    <row r="5716" spans="1:2" x14ac:dyDescent="0.3">
      <c r="A5716" t="s">
        <v>1655</v>
      </c>
      <c r="B5716" t="s">
        <v>1</v>
      </c>
    </row>
    <row r="5717" spans="1:2" x14ac:dyDescent="0.3">
      <c r="A5717" t="s">
        <v>4879</v>
      </c>
      <c r="B5717" t="s">
        <v>1</v>
      </c>
    </row>
    <row r="5718" spans="1:2" x14ac:dyDescent="0.3">
      <c r="A5718" t="s">
        <v>4880</v>
      </c>
      <c r="B5718" t="s">
        <v>1</v>
      </c>
    </row>
    <row r="5719" spans="1:2" x14ac:dyDescent="0.3">
      <c r="A5719" t="s">
        <v>4881</v>
      </c>
      <c r="B5719" t="s">
        <v>1</v>
      </c>
    </row>
    <row r="5720" spans="1:2" x14ac:dyDescent="0.3">
      <c r="A5720" t="s">
        <v>4882</v>
      </c>
      <c r="B5720" t="s">
        <v>1</v>
      </c>
    </row>
    <row r="5721" spans="1:2" x14ac:dyDescent="0.3">
      <c r="A5721" t="s">
        <v>4883</v>
      </c>
      <c r="B5721" t="s">
        <v>1</v>
      </c>
    </row>
    <row r="5722" spans="1:2" x14ac:dyDescent="0.3">
      <c r="A5722" t="s">
        <v>4884</v>
      </c>
      <c r="B5722" t="s">
        <v>1</v>
      </c>
    </row>
    <row r="5723" spans="1:2" x14ac:dyDescent="0.3">
      <c r="A5723" t="s">
        <v>4885</v>
      </c>
      <c r="B5723" t="s">
        <v>1</v>
      </c>
    </row>
    <row r="5724" spans="1:2" x14ac:dyDescent="0.3">
      <c r="A5724" t="s">
        <v>4886</v>
      </c>
      <c r="B5724" t="s">
        <v>1</v>
      </c>
    </row>
    <row r="5725" spans="1:2" x14ac:dyDescent="0.3">
      <c r="A5725" t="s">
        <v>4887</v>
      </c>
      <c r="B5725" t="s">
        <v>1</v>
      </c>
    </row>
    <row r="5726" spans="1:2" x14ac:dyDescent="0.3">
      <c r="A5726" t="s">
        <v>4888</v>
      </c>
      <c r="B5726" t="s">
        <v>1</v>
      </c>
    </row>
    <row r="5727" spans="1:2" x14ac:dyDescent="0.3">
      <c r="A5727" t="s">
        <v>4889</v>
      </c>
      <c r="B5727" t="s">
        <v>1</v>
      </c>
    </row>
    <row r="5728" spans="1:2" x14ac:dyDescent="0.3">
      <c r="A5728" t="s">
        <v>4890</v>
      </c>
      <c r="B5728" t="s">
        <v>1</v>
      </c>
    </row>
    <row r="5729" spans="1:2" x14ac:dyDescent="0.3">
      <c r="A5729" t="s">
        <v>4891</v>
      </c>
      <c r="B5729" t="s">
        <v>1</v>
      </c>
    </row>
    <row r="5730" spans="1:2" x14ac:dyDescent="0.3">
      <c r="A5730" t="s">
        <v>4892</v>
      </c>
      <c r="B5730" t="s">
        <v>1</v>
      </c>
    </row>
    <row r="5731" spans="1:2" x14ac:dyDescent="0.3">
      <c r="A5731" t="s">
        <v>4893</v>
      </c>
      <c r="B5731" t="s">
        <v>1</v>
      </c>
    </row>
    <row r="5732" spans="1:2" x14ac:dyDescent="0.3">
      <c r="A5732" t="s">
        <v>4894</v>
      </c>
      <c r="B5732" t="s">
        <v>1</v>
      </c>
    </row>
    <row r="5733" spans="1:2" x14ac:dyDescent="0.3">
      <c r="A5733" t="s">
        <v>4895</v>
      </c>
      <c r="B5733" t="s">
        <v>1</v>
      </c>
    </row>
    <row r="5734" spans="1:2" x14ac:dyDescent="0.3">
      <c r="A5734" t="s">
        <v>4896</v>
      </c>
      <c r="B5734" t="s">
        <v>1</v>
      </c>
    </row>
    <row r="5735" spans="1:2" x14ac:dyDescent="0.3">
      <c r="A5735" t="s">
        <v>4897</v>
      </c>
      <c r="B5735" t="s">
        <v>1</v>
      </c>
    </row>
    <row r="5736" spans="1:2" x14ac:dyDescent="0.3">
      <c r="A5736" t="s">
        <v>4898</v>
      </c>
      <c r="B5736" t="s">
        <v>1</v>
      </c>
    </row>
    <row r="5737" spans="1:2" x14ac:dyDescent="0.3">
      <c r="A5737" t="s">
        <v>4899</v>
      </c>
      <c r="B5737" t="s">
        <v>1</v>
      </c>
    </row>
    <row r="5738" spans="1:2" x14ac:dyDescent="0.3">
      <c r="A5738" t="s">
        <v>4900</v>
      </c>
      <c r="B5738" t="s">
        <v>1</v>
      </c>
    </row>
    <row r="5739" spans="1:2" x14ac:dyDescent="0.3">
      <c r="A5739" t="s">
        <v>4901</v>
      </c>
      <c r="B5739" t="s">
        <v>1</v>
      </c>
    </row>
    <row r="5740" spans="1:2" x14ac:dyDescent="0.3">
      <c r="A5740" t="s">
        <v>4902</v>
      </c>
      <c r="B5740" t="s">
        <v>1</v>
      </c>
    </row>
    <row r="5741" spans="1:2" x14ac:dyDescent="0.3">
      <c r="A5741" t="s">
        <v>4903</v>
      </c>
      <c r="B5741" t="s">
        <v>1</v>
      </c>
    </row>
    <row r="5742" spans="1:2" x14ac:dyDescent="0.3">
      <c r="A5742" t="s">
        <v>4904</v>
      </c>
      <c r="B5742" t="s">
        <v>1</v>
      </c>
    </row>
    <row r="5743" spans="1:2" x14ac:dyDescent="0.3">
      <c r="A5743" t="s">
        <v>4905</v>
      </c>
      <c r="B5743" t="s">
        <v>1</v>
      </c>
    </row>
    <row r="5744" spans="1:2" x14ac:dyDescent="0.3">
      <c r="A5744" t="s">
        <v>4906</v>
      </c>
      <c r="B5744" t="s">
        <v>1</v>
      </c>
    </row>
    <row r="5745" spans="1:2" x14ac:dyDescent="0.3">
      <c r="A5745" t="s">
        <v>4907</v>
      </c>
      <c r="B5745" t="s">
        <v>1</v>
      </c>
    </row>
    <row r="5746" spans="1:2" x14ac:dyDescent="0.3">
      <c r="A5746" t="s">
        <v>4908</v>
      </c>
      <c r="B5746" t="s">
        <v>1</v>
      </c>
    </row>
    <row r="5747" spans="1:2" x14ac:dyDescent="0.3">
      <c r="A5747" t="s">
        <v>4909</v>
      </c>
      <c r="B5747" t="s">
        <v>1</v>
      </c>
    </row>
    <row r="5748" spans="1:2" x14ac:dyDescent="0.3">
      <c r="A5748" t="s">
        <v>4910</v>
      </c>
      <c r="B5748" t="s">
        <v>1</v>
      </c>
    </row>
    <row r="5749" spans="1:2" x14ac:dyDescent="0.3">
      <c r="A5749" t="s">
        <v>4911</v>
      </c>
      <c r="B5749" t="s">
        <v>1</v>
      </c>
    </row>
    <row r="5750" spans="1:2" x14ac:dyDescent="0.3">
      <c r="A5750" t="s">
        <v>4912</v>
      </c>
      <c r="B5750" t="s">
        <v>1</v>
      </c>
    </row>
    <row r="5751" spans="1:2" x14ac:dyDescent="0.3">
      <c r="A5751" t="s">
        <v>4913</v>
      </c>
      <c r="B5751" t="s">
        <v>1</v>
      </c>
    </row>
    <row r="5752" spans="1:2" x14ac:dyDescent="0.3">
      <c r="A5752" t="s">
        <v>4914</v>
      </c>
      <c r="B5752" t="s">
        <v>1</v>
      </c>
    </row>
    <row r="5753" spans="1:2" x14ac:dyDescent="0.3">
      <c r="A5753" t="s">
        <v>4915</v>
      </c>
      <c r="B5753" t="s">
        <v>1</v>
      </c>
    </row>
    <row r="5754" spans="1:2" x14ac:dyDescent="0.3">
      <c r="A5754" t="s">
        <v>4916</v>
      </c>
      <c r="B5754" t="s">
        <v>1</v>
      </c>
    </row>
    <row r="5755" spans="1:2" x14ac:dyDescent="0.3">
      <c r="A5755" t="s">
        <v>4917</v>
      </c>
      <c r="B5755" t="s">
        <v>1</v>
      </c>
    </row>
    <row r="5756" spans="1:2" x14ac:dyDescent="0.3">
      <c r="A5756" t="s">
        <v>4918</v>
      </c>
      <c r="B5756" t="s">
        <v>1</v>
      </c>
    </row>
    <row r="5757" spans="1:2" x14ac:dyDescent="0.3">
      <c r="A5757" t="s">
        <v>4919</v>
      </c>
      <c r="B5757" t="s">
        <v>1</v>
      </c>
    </row>
    <row r="5758" spans="1:2" x14ac:dyDescent="0.3">
      <c r="A5758" t="s">
        <v>4920</v>
      </c>
      <c r="B5758" t="s">
        <v>1</v>
      </c>
    </row>
    <row r="5759" spans="1:2" x14ac:dyDescent="0.3">
      <c r="A5759" t="s">
        <v>4921</v>
      </c>
      <c r="B5759" t="s">
        <v>1</v>
      </c>
    </row>
    <row r="5760" spans="1:2" x14ac:dyDescent="0.3">
      <c r="A5760" t="s">
        <v>4922</v>
      </c>
      <c r="B5760" t="s">
        <v>1</v>
      </c>
    </row>
    <row r="5761" spans="1:2" x14ac:dyDescent="0.3">
      <c r="A5761" t="s">
        <v>4923</v>
      </c>
      <c r="B5761" t="s">
        <v>1</v>
      </c>
    </row>
    <row r="5762" spans="1:2" x14ac:dyDescent="0.3">
      <c r="A5762" t="s">
        <v>4924</v>
      </c>
      <c r="B5762" t="s">
        <v>1</v>
      </c>
    </row>
    <row r="5763" spans="1:2" x14ac:dyDescent="0.3">
      <c r="A5763" t="s">
        <v>4925</v>
      </c>
      <c r="B5763" t="s">
        <v>1</v>
      </c>
    </row>
    <row r="5764" spans="1:2" x14ac:dyDescent="0.3">
      <c r="A5764" t="s">
        <v>4926</v>
      </c>
      <c r="B5764" t="s">
        <v>1</v>
      </c>
    </row>
    <row r="5765" spans="1:2" x14ac:dyDescent="0.3">
      <c r="A5765" t="s">
        <v>4927</v>
      </c>
      <c r="B5765" t="s">
        <v>1</v>
      </c>
    </row>
    <row r="5766" spans="1:2" x14ac:dyDescent="0.3">
      <c r="A5766" t="s">
        <v>4928</v>
      </c>
      <c r="B5766" t="s">
        <v>1</v>
      </c>
    </row>
    <row r="5767" spans="1:2" x14ac:dyDescent="0.3">
      <c r="A5767" t="s">
        <v>4929</v>
      </c>
      <c r="B5767" t="s">
        <v>1</v>
      </c>
    </row>
    <row r="5768" spans="1:2" x14ac:dyDescent="0.3">
      <c r="A5768" t="s">
        <v>4930</v>
      </c>
      <c r="B5768" t="s">
        <v>1</v>
      </c>
    </row>
    <row r="5769" spans="1:2" x14ac:dyDescent="0.3">
      <c r="A5769" t="s">
        <v>4931</v>
      </c>
      <c r="B5769" t="s">
        <v>1</v>
      </c>
    </row>
    <row r="5770" spans="1:2" x14ac:dyDescent="0.3">
      <c r="A5770" t="s">
        <v>4932</v>
      </c>
      <c r="B5770" t="s">
        <v>1</v>
      </c>
    </row>
    <row r="5771" spans="1:2" x14ac:dyDescent="0.3">
      <c r="A5771" t="s">
        <v>4933</v>
      </c>
      <c r="B5771" t="s">
        <v>1</v>
      </c>
    </row>
    <row r="5772" spans="1:2" x14ac:dyDescent="0.3">
      <c r="A5772" t="s">
        <v>4934</v>
      </c>
      <c r="B5772" t="s">
        <v>1</v>
      </c>
    </row>
    <row r="5773" spans="1:2" x14ac:dyDescent="0.3">
      <c r="A5773" t="s">
        <v>4935</v>
      </c>
      <c r="B5773" t="s">
        <v>1</v>
      </c>
    </row>
    <row r="5774" spans="1:2" x14ac:dyDescent="0.3">
      <c r="A5774" t="s">
        <v>4936</v>
      </c>
      <c r="B5774" t="s">
        <v>1</v>
      </c>
    </row>
    <row r="5775" spans="1:2" x14ac:dyDescent="0.3">
      <c r="A5775" t="s">
        <v>4937</v>
      </c>
      <c r="B5775" t="s">
        <v>1</v>
      </c>
    </row>
    <row r="5776" spans="1:2" x14ac:dyDescent="0.3">
      <c r="A5776" t="s">
        <v>4938</v>
      </c>
      <c r="B5776" t="s">
        <v>1</v>
      </c>
    </row>
    <row r="5777" spans="1:2" x14ac:dyDescent="0.3">
      <c r="A5777" t="s">
        <v>4939</v>
      </c>
      <c r="B5777" t="s">
        <v>1</v>
      </c>
    </row>
    <row r="5778" spans="1:2" x14ac:dyDescent="0.3">
      <c r="A5778" t="s">
        <v>4940</v>
      </c>
      <c r="B5778" t="s">
        <v>1</v>
      </c>
    </row>
    <row r="5779" spans="1:2" x14ac:dyDescent="0.3">
      <c r="A5779" t="s">
        <v>4941</v>
      </c>
      <c r="B5779" t="s">
        <v>1</v>
      </c>
    </row>
    <row r="5780" spans="1:2" x14ac:dyDescent="0.3">
      <c r="A5780" t="s">
        <v>4942</v>
      </c>
      <c r="B5780" t="s">
        <v>1</v>
      </c>
    </row>
    <row r="5781" spans="1:2" x14ac:dyDescent="0.3">
      <c r="A5781" t="s">
        <v>4943</v>
      </c>
      <c r="B5781" t="s">
        <v>1</v>
      </c>
    </row>
    <row r="5782" spans="1:2" x14ac:dyDescent="0.3">
      <c r="A5782" t="s">
        <v>4944</v>
      </c>
      <c r="B5782" t="s">
        <v>1</v>
      </c>
    </row>
    <row r="5783" spans="1:2" x14ac:dyDescent="0.3">
      <c r="A5783" t="s">
        <v>4945</v>
      </c>
      <c r="B5783" t="s">
        <v>1</v>
      </c>
    </row>
    <row r="5784" spans="1:2" x14ac:dyDescent="0.3">
      <c r="A5784" t="s">
        <v>4946</v>
      </c>
      <c r="B5784" t="s">
        <v>1</v>
      </c>
    </row>
    <row r="5785" spans="1:2" x14ac:dyDescent="0.3">
      <c r="A5785" t="s">
        <v>4947</v>
      </c>
      <c r="B5785" t="s">
        <v>1</v>
      </c>
    </row>
    <row r="5786" spans="1:2" x14ac:dyDescent="0.3">
      <c r="A5786" t="s">
        <v>4948</v>
      </c>
      <c r="B5786" t="s">
        <v>1</v>
      </c>
    </row>
    <row r="5787" spans="1:2" x14ac:dyDescent="0.3">
      <c r="A5787" t="s">
        <v>4949</v>
      </c>
      <c r="B5787" t="s">
        <v>1</v>
      </c>
    </row>
    <row r="5788" spans="1:2" x14ac:dyDescent="0.3">
      <c r="A5788" t="s">
        <v>4950</v>
      </c>
      <c r="B5788" t="s">
        <v>1</v>
      </c>
    </row>
    <row r="5789" spans="1:2" x14ac:dyDescent="0.3">
      <c r="A5789" t="s">
        <v>4951</v>
      </c>
      <c r="B5789" t="s">
        <v>1</v>
      </c>
    </row>
    <row r="5790" spans="1:2" x14ac:dyDescent="0.3">
      <c r="A5790" t="s">
        <v>4952</v>
      </c>
      <c r="B5790" t="s">
        <v>1</v>
      </c>
    </row>
    <row r="5791" spans="1:2" x14ac:dyDescent="0.3">
      <c r="A5791" t="s">
        <v>4953</v>
      </c>
      <c r="B5791" t="s">
        <v>1</v>
      </c>
    </row>
    <row r="5792" spans="1:2" x14ac:dyDescent="0.3">
      <c r="A5792" t="s">
        <v>4954</v>
      </c>
      <c r="B5792" t="s">
        <v>1</v>
      </c>
    </row>
    <row r="5793" spans="1:2" x14ac:dyDescent="0.3">
      <c r="A5793" t="s">
        <v>4955</v>
      </c>
      <c r="B5793" t="s">
        <v>1</v>
      </c>
    </row>
    <row r="5794" spans="1:2" x14ac:dyDescent="0.3">
      <c r="A5794" t="s">
        <v>4956</v>
      </c>
      <c r="B5794" t="s">
        <v>1</v>
      </c>
    </row>
    <row r="5795" spans="1:2" x14ac:dyDescent="0.3">
      <c r="A5795" t="s">
        <v>4957</v>
      </c>
      <c r="B5795" t="s">
        <v>1</v>
      </c>
    </row>
    <row r="5796" spans="1:2" x14ac:dyDescent="0.3">
      <c r="A5796" t="s">
        <v>4958</v>
      </c>
      <c r="B5796" t="s">
        <v>1</v>
      </c>
    </row>
    <row r="5797" spans="1:2" x14ac:dyDescent="0.3">
      <c r="A5797" t="s">
        <v>4959</v>
      </c>
      <c r="B5797" t="s">
        <v>1</v>
      </c>
    </row>
    <row r="5798" spans="1:2" x14ac:dyDescent="0.3">
      <c r="A5798" t="s">
        <v>4960</v>
      </c>
      <c r="B5798" t="s">
        <v>195</v>
      </c>
    </row>
    <row r="5799" spans="1:2" x14ac:dyDescent="0.3">
      <c r="A5799" t="s">
        <v>4961</v>
      </c>
      <c r="B5799" t="s">
        <v>195</v>
      </c>
    </row>
    <row r="5800" spans="1:2" x14ac:dyDescent="0.3">
      <c r="A5800" t="s">
        <v>4962</v>
      </c>
      <c r="B5800" t="s">
        <v>195</v>
      </c>
    </row>
    <row r="5801" spans="1:2" x14ac:dyDescent="0.3">
      <c r="B5801" t="s">
        <v>896</v>
      </c>
    </row>
    <row r="5802" spans="1:2" x14ac:dyDescent="0.3">
      <c r="A5802" t="s">
        <v>4963</v>
      </c>
      <c r="B5802" t="s">
        <v>195</v>
      </c>
    </row>
    <row r="5803" spans="1:2" x14ac:dyDescent="0.3">
      <c r="A5803" t="s">
        <v>4964</v>
      </c>
      <c r="B5803" t="s">
        <v>191</v>
      </c>
    </row>
    <row r="5804" spans="1:2" x14ac:dyDescent="0.3">
      <c r="A5804" t="s">
        <v>4965</v>
      </c>
      <c r="B5804" t="s">
        <v>195</v>
      </c>
    </row>
    <row r="5805" spans="1:2" x14ac:dyDescent="0.3">
      <c r="B5805" t="s">
        <v>195</v>
      </c>
    </row>
    <row r="5806" spans="1:2" x14ac:dyDescent="0.3">
      <c r="A5806" t="s">
        <v>4966</v>
      </c>
      <c r="B5806" t="s">
        <v>195</v>
      </c>
    </row>
    <row r="5807" spans="1:2" x14ac:dyDescent="0.3">
      <c r="A5807" t="s">
        <v>4967</v>
      </c>
      <c r="B5807" t="s">
        <v>195</v>
      </c>
    </row>
    <row r="5808" spans="1:2" x14ac:dyDescent="0.3">
      <c r="B5808" t="s">
        <v>195</v>
      </c>
    </row>
    <row r="5809" spans="1:2" x14ac:dyDescent="0.3">
      <c r="A5809" t="s">
        <v>4968</v>
      </c>
      <c r="B5809" t="s">
        <v>195</v>
      </c>
    </row>
    <row r="5810" spans="1:2" x14ac:dyDescent="0.3">
      <c r="A5810" t="s">
        <v>4969</v>
      </c>
      <c r="B5810" t="s">
        <v>1</v>
      </c>
    </row>
    <row r="5811" spans="1:2" x14ac:dyDescent="0.3">
      <c r="A5811" t="s">
        <v>4970</v>
      </c>
      <c r="B5811" t="s">
        <v>1</v>
      </c>
    </row>
    <row r="5812" spans="1:2" x14ac:dyDescent="0.3">
      <c r="A5812" t="s">
        <v>4971</v>
      </c>
      <c r="B5812" t="s">
        <v>1</v>
      </c>
    </row>
    <row r="5813" spans="1:2" x14ac:dyDescent="0.3">
      <c r="A5813" t="s">
        <v>4972</v>
      </c>
      <c r="B5813" t="s">
        <v>1</v>
      </c>
    </row>
    <row r="5814" spans="1:2" x14ac:dyDescent="0.3">
      <c r="A5814" t="s">
        <v>4973</v>
      </c>
      <c r="B5814" t="s">
        <v>1</v>
      </c>
    </row>
    <row r="5815" spans="1:2" x14ac:dyDescent="0.3">
      <c r="A5815" t="s">
        <v>4974</v>
      </c>
      <c r="B5815" t="s">
        <v>1</v>
      </c>
    </row>
    <row r="5816" spans="1:2" x14ac:dyDescent="0.3">
      <c r="A5816" t="s">
        <v>4975</v>
      </c>
      <c r="B5816" t="s">
        <v>1</v>
      </c>
    </row>
    <row r="5817" spans="1:2" x14ac:dyDescent="0.3">
      <c r="A5817" t="s">
        <v>4976</v>
      </c>
      <c r="B5817" t="s">
        <v>1</v>
      </c>
    </row>
    <row r="5818" spans="1:2" x14ac:dyDescent="0.3">
      <c r="A5818" t="s">
        <v>4977</v>
      </c>
      <c r="B5818" t="s">
        <v>1</v>
      </c>
    </row>
    <row r="5819" spans="1:2" x14ac:dyDescent="0.3">
      <c r="A5819" t="s">
        <v>4978</v>
      </c>
      <c r="B5819" t="s">
        <v>1</v>
      </c>
    </row>
    <row r="5820" spans="1:2" x14ac:dyDescent="0.3">
      <c r="A5820" t="s">
        <v>4979</v>
      </c>
      <c r="B5820" t="s">
        <v>1</v>
      </c>
    </row>
    <row r="5821" spans="1:2" x14ac:dyDescent="0.3">
      <c r="A5821" t="s">
        <v>4980</v>
      </c>
      <c r="B5821" t="s">
        <v>1</v>
      </c>
    </row>
    <row r="5822" spans="1:2" x14ac:dyDescent="0.3">
      <c r="A5822" t="s">
        <v>4981</v>
      </c>
      <c r="B5822" t="s">
        <v>1</v>
      </c>
    </row>
    <row r="5823" spans="1:2" x14ac:dyDescent="0.3">
      <c r="A5823" t="s">
        <v>4982</v>
      </c>
      <c r="B5823" t="s">
        <v>1</v>
      </c>
    </row>
    <row r="5824" spans="1:2" x14ac:dyDescent="0.3">
      <c r="A5824" t="s">
        <v>4983</v>
      </c>
      <c r="B5824" t="s">
        <v>1</v>
      </c>
    </row>
    <row r="5825" spans="1:2" x14ac:dyDescent="0.3">
      <c r="A5825" t="s">
        <v>4984</v>
      </c>
      <c r="B5825" t="s">
        <v>1</v>
      </c>
    </row>
    <row r="5826" spans="1:2" x14ac:dyDescent="0.3">
      <c r="A5826" t="s">
        <v>4985</v>
      </c>
      <c r="B5826" t="s">
        <v>1</v>
      </c>
    </row>
    <row r="5827" spans="1:2" x14ac:dyDescent="0.3">
      <c r="B5827" t="s">
        <v>172</v>
      </c>
    </row>
    <row r="5828" spans="1:2" x14ac:dyDescent="0.3">
      <c r="B5828" t="s">
        <v>172</v>
      </c>
    </row>
    <row r="5829" spans="1:2" x14ac:dyDescent="0.3">
      <c r="A5829" t="s">
        <v>4986</v>
      </c>
      <c r="B5829" t="s">
        <v>172</v>
      </c>
    </row>
    <row r="5830" spans="1:2" x14ac:dyDescent="0.3">
      <c r="A5830" t="s">
        <v>4987</v>
      </c>
      <c r="B5830" t="s">
        <v>172</v>
      </c>
    </row>
    <row r="5831" spans="1:2" x14ac:dyDescent="0.3">
      <c r="A5831" t="s">
        <v>4988</v>
      </c>
      <c r="B5831" t="s">
        <v>172</v>
      </c>
    </row>
    <row r="5832" spans="1:2" x14ac:dyDescent="0.3">
      <c r="A5832" t="s">
        <v>4989</v>
      </c>
      <c r="B5832" t="s">
        <v>172</v>
      </c>
    </row>
    <row r="5833" spans="1:2" x14ac:dyDescent="0.3">
      <c r="A5833" t="s">
        <v>4990</v>
      </c>
      <c r="B5833" t="s">
        <v>172</v>
      </c>
    </row>
    <row r="5834" spans="1:2" x14ac:dyDescent="0.3">
      <c r="B5834" t="s">
        <v>1107</v>
      </c>
    </row>
    <row r="5835" spans="1:2" x14ac:dyDescent="0.3">
      <c r="B5835" t="s">
        <v>1107</v>
      </c>
    </row>
    <row r="5836" spans="1:2" x14ac:dyDescent="0.3">
      <c r="A5836" t="s">
        <v>4991</v>
      </c>
      <c r="B5836" t="s">
        <v>172</v>
      </c>
    </row>
    <row r="5837" spans="1:2" x14ac:dyDescent="0.3">
      <c r="A5837" t="s">
        <v>4992</v>
      </c>
      <c r="B5837" t="s">
        <v>172</v>
      </c>
    </row>
    <row r="5838" spans="1:2" x14ac:dyDescent="0.3">
      <c r="A5838" t="s">
        <v>4993</v>
      </c>
      <c r="B5838" t="s">
        <v>172</v>
      </c>
    </row>
    <row r="5839" spans="1:2" x14ac:dyDescent="0.3">
      <c r="A5839" t="s">
        <v>4994</v>
      </c>
      <c r="B5839" t="s">
        <v>172</v>
      </c>
    </row>
    <row r="5840" spans="1:2" x14ac:dyDescent="0.3">
      <c r="A5840" t="s">
        <v>4995</v>
      </c>
      <c r="B5840" t="s">
        <v>172</v>
      </c>
    </row>
    <row r="5841" spans="1:2" x14ac:dyDescent="0.3">
      <c r="A5841" t="s">
        <v>4996</v>
      </c>
      <c r="B5841" t="s">
        <v>172</v>
      </c>
    </row>
    <row r="5842" spans="1:2" x14ac:dyDescent="0.3">
      <c r="A5842" t="s">
        <v>4997</v>
      </c>
      <c r="B5842" t="s">
        <v>172</v>
      </c>
    </row>
    <row r="5843" spans="1:2" x14ac:dyDescent="0.3">
      <c r="A5843" t="s">
        <v>4998</v>
      </c>
      <c r="B5843" t="s">
        <v>172</v>
      </c>
    </row>
    <row r="5844" spans="1:2" x14ac:dyDescent="0.3">
      <c r="A5844" t="s">
        <v>4999</v>
      </c>
      <c r="B5844" t="s">
        <v>172</v>
      </c>
    </row>
    <row r="5845" spans="1:2" x14ac:dyDescent="0.3">
      <c r="A5845" t="s">
        <v>5000</v>
      </c>
      <c r="B5845" t="s">
        <v>172</v>
      </c>
    </row>
    <row r="5846" spans="1:2" x14ac:dyDescent="0.3">
      <c r="B5846" t="s">
        <v>172</v>
      </c>
    </row>
    <row r="5847" spans="1:2" x14ac:dyDescent="0.3">
      <c r="B5847" t="s">
        <v>172</v>
      </c>
    </row>
    <row r="5848" spans="1:2" x14ac:dyDescent="0.3">
      <c r="A5848" t="s">
        <v>5001</v>
      </c>
      <c r="B5848" t="s">
        <v>172</v>
      </c>
    </row>
    <row r="5849" spans="1:2" x14ac:dyDescent="0.3">
      <c r="A5849" t="s">
        <v>5002</v>
      </c>
      <c r="B5849" t="s">
        <v>172</v>
      </c>
    </row>
    <row r="5850" spans="1:2" x14ac:dyDescent="0.3">
      <c r="A5850" t="s">
        <v>5003</v>
      </c>
      <c r="B5850" t="s">
        <v>172</v>
      </c>
    </row>
    <row r="5851" spans="1:2" x14ac:dyDescent="0.3">
      <c r="B5851" t="s">
        <v>172</v>
      </c>
    </row>
    <row r="5852" spans="1:2" x14ac:dyDescent="0.3">
      <c r="A5852" t="s">
        <v>5004</v>
      </c>
      <c r="B5852" t="s">
        <v>172</v>
      </c>
    </row>
    <row r="5853" spans="1:2" x14ac:dyDescent="0.3">
      <c r="A5853" t="s">
        <v>5005</v>
      </c>
      <c r="B5853" t="s">
        <v>172</v>
      </c>
    </row>
    <row r="5854" spans="1:2" x14ac:dyDescent="0.3">
      <c r="B5854" t="s">
        <v>172</v>
      </c>
    </row>
    <row r="5855" spans="1:2" x14ac:dyDescent="0.3">
      <c r="B5855" t="s">
        <v>139</v>
      </c>
    </row>
    <row r="5856" spans="1:2" x14ac:dyDescent="0.3">
      <c r="B5856" t="s">
        <v>139</v>
      </c>
    </row>
    <row r="5857" spans="1:2" x14ac:dyDescent="0.3">
      <c r="B5857" t="s">
        <v>139</v>
      </c>
    </row>
    <row r="5858" spans="1:2" x14ac:dyDescent="0.3">
      <c r="B5858" t="s">
        <v>139</v>
      </c>
    </row>
    <row r="5859" spans="1:2" x14ac:dyDescent="0.3">
      <c r="A5859" t="s">
        <v>5006</v>
      </c>
      <c r="B5859" t="s">
        <v>139</v>
      </c>
    </row>
    <row r="5860" spans="1:2" x14ac:dyDescent="0.3">
      <c r="B5860" t="s">
        <v>1107</v>
      </c>
    </row>
    <row r="5861" spans="1:2" x14ac:dyDescent="0.3">
      <c r="A5861" t="s">
        <v>5007</v>
      </c>
      <c r="B5861" t="s">
        <v>200</v>
      </c>
    </row>
    <row r="5862" spans="1:2" x14ac:dyDescent="0.3">
      <c r="A5862" t="s">
        <v>5008</v>
      </c>
      <c r="B5862" t="s">
        <v>280</v>
      </c>
    </row>
    <row r="5863" spans="1:2" x14ac:dyDescent="0.3">
      <c r="A5863" t="s">
        <v>5009</v>
      </c>
      <c r="B5863" t="s">
        <v>280</v>
      </c>
    </row>
    <row r="5864" spans="1:2" x14ac:dyDescent="0.3">
      <c r="A5864" t="s">
        <v>5010</v>
      </c>
      <c r="B5864" t="s">
        <v>280</v>
      </c>
    </row>
    <row r="5865" spans="1:2" x14ac:dyDescent="0.3">
      <c r="A5865" t="s">
        <v>5011</v>
      </c>
      <c r="B5865" t="s">
        <v>280</v>
      </c>
    </row>
    <row r="5866" spans="1:2" x14ac:dyDescent="0.3">
      <c r="A5866" t="s">
        <v>5012</v>
      </c>
      <c r="B5866" t="s">
        <v>280</v>
      </c>
    </row>
    <row r="5867" spans="1:2" x14ac:dyDescent="0.3">
      <c r="B5867" t="s">
        <v>1534</v>
      </c>
    </row>
    <row r="5868" spans="1:2" x14ac:dyDescent="0.3">
      <c r="A5868" t="s">
        <v>5013</v>
      </c>
      <c r="B5868" t="s">
        <v>1614</v>
      </c>
    </row>
    <row r="5869" spans="1:2" x14ac:dyDescent="0.3">
      <c r="A5869" t="s">
        <v>5014</v>
      </c>
      <c r="B5869" t="s">
        <v>1614</v>
      </c>
    </row>
    <row r="5870" spans="1:2" x14ac:dyDescent="0.3">
      <c r="A5870" t="s">
        <v>5015</v>
      </c>
      <c r="B5870" t="s">
        <v>1614</v>
      </c>
    </row>
    <row r="5871" spans="1:2" x14ac:dyDescent="0.3">
      <c r="A5871" t="s">
        <v>5016</v>
      </c>
      <c r="B5871" t="s">
        <v>1614</v>
      </c>
    </row>
    <row r="5872" spans="1:2" x14ac:dyDescent="0.3">
      <c r="A5872" t="s">
        <v>5017</v>
      </c>
      <c r="B5872" t="s">
        <v>1614</v>
      </c>
    </row>
    <row r="5873" spans="1:2" x14ac:dyDescent="0.3">
      <c r="B5873" t="s">
        <v>1614</v>
      </c>
    </row>
    <row r="5874" spans="1:2" x14ac:dyDescent="0.3">
      <c r="A5874" t="s">
        <v>5018</v>
      </c>
      <c r="B5874" t="s">
        <v>1622</v>
      </c>
    </row>
    <row r="5875" spans="1:2" x14ac:dyDescent="0.3">
      <c r="A5875" t="s">
        <v>5019</v>
      </c>
      <c r="B5875" t="s">
        <v>72</v>
      </c>
    </row>
    <row r="5876" spans="1:2" x14ac:dyDescent="0.3">
      <c r="B5876" t="s">
        <v>3375</v>
      </c>
    </row>
    <row r="5877" spans="1:2" x14ac:dyDescent="0.3">
      <c r="B5877" t="s">
        <v>1527</v>
      </c>
    </row>
    <row r="5878" spans="1:2" x14ac:dyDescent="0.3">
      <c r="A5878" t="s">
        <v>5020</v>
      </c>
      <c r="B5878" t="s">
        <v>1527</v>
      </c>
    </row>
    <row r="5879" spans="1:2" x14ac:dyDescent="0.3">
      <c r="A5879" t="s">
        <v>5021</v>
      </c>
      <c r="B5879" t="s">
        <v>100</v>
      </c>
    </row>
    <row r="5880" spans="1:2" x14ac:dyDescent="0.3">
      <c r="A5880" t="s">
        <v>5022</v>
      </c>
      <c r="B5880" t="s">
        <v>72</v>
      </c>
    </row>
    <row r="5881" spans="1:2" x14ac:dyDescent="0.3">
      <c r="A5881" t="s">
        <v>5023</v>
      </c>
      <c r="B5881" t="s">
        <v>72</v>
      </c>
    </row>
    <row r="5882" spans="1:2" x14ac:dyDescent="0.3">
      <c r="A5882" t="s">
        <v>5024</v>
      </c>
      <c r="B5882" t="s">
        <v>72</v>
      </c>
    </row>
    <row r="5883" spans="1:2" x14ac:dyDescent="0.3">
      <c r="A5883" t="s">
        <v>5025</v>
      </c>
      <c r="B5883" t="s">
        <v>72</v>
      </c>
    </row>
    <row r="5884" spans="1:2" x14ac:dyDescent="0.3">
      <c r="A5884" t="s">
        <v>5026</v>
      </c>
      <c r="B5884" t="s">
        <v>167</v>
      </c>
    </row>
    <row r="5885" spans="1:2" x14ac:dyDescent="0.3">
      <c r="A5885" t="s">
        <v>5027</v>
      </c>
      <c r="B5885" t="s">
        <v>195</v>
      </c>
    </row>
    <row r="5886" spans="1:2" x14ac:dyDescent="0.3">
      <c r="B5886" t="s">
        <v>2294</v>
      </c>
    </row>
    <row r="5887" spans="1:2" x14ac:dyDescent="0.3">
      <c r="A5887" t="s">
        <v>5028</v>
      </c>
      <c r="B5887" t="s">
        <v>2294</v>
      </c>
    </row>
    <row r="5888" spans="1:2" x14ac:dyDescent="0.3">
      <c r="A5888" t="s">
        <v>5029</v>
      </c>
      <c r="B5888" t="s">
        <v>195</v>
      </c>
    </row>
    <row r="5889" spans="1:2" x14ac:dyDescent="0.3">
      <c r="A5889" t="s">
        <v>5030</v>
      </c>
      <c r="B5889" t="s">
        <v>195</v>
      </c>
    </row>
    <row r="5890" spans="1:2" x14ac:dyDescent="0.3">
      <c r="A5890" t="s">
        <v>5031</v>
      </c>
      <c r="B5890" t="s">
        <v>2208</v>
      </c>
    </row>
    <row r="5891" spans="1:2" x14ac:dyDescent="0.3">
      <c r="A5891" t="s">
        <v>5032</v>
      </c>
      <c r="B5891" t="s">
        <v>72</v>
      </c>
    </row>
    <row r="5892" spans="1:2" x14ac:dyDescent="0.3">
      <c r="A5892" t="s">
        <v>5033</v>
      </c>
      <c r="B5892" t="s">
        <v>72</v>
      </c>
    </row>
    <row r="5893" spans="1:2" x14ac:dyDescent="0.3">
      <c r="A5893" t="s">
        <v>5034</v>
      </c>
      <c r="B5893" t="s">
        <v>72</v>
      </c>
    </row>
    <row r="5894" spans="1:2" x14ac:dyDescent="0.3">
      <c r="A5894" t="s">
        <v>5035</v>
      </c>
      <c r="B5894" t="s">
        <v>2208</v>
      </c>
    </row>
    <row r="5895" spans="1:2" x14ac:dyDescent="0.3">
      <c r="B5895" t="s">
        <v>1</v>
      </c>
    </row>
    <row r="5896" spans="1:2" x14ac:dyDescent="0.3">
      <c r="B5896" t="s">
        <v>1</v>
      </c>
    </row>
    <row r="5897" spans="1:2" x14ac:dyDescent="0.3">
      <c r="A5897" t="s">
        <v>5036</v>
      </c>
      <c r="B5897" t="s">
        <v>739</v>
      </c>
    </row>
    <row r="5898" spans="1:2" x14ac:dyDescent="0.3">
      <c r="B5898" t="s">
        <v>1</v>
      </c>
    </row>
    <row r="5899" spans="1:2" x14ac:dyDescent="0.3">
      <c r="A5899" t="s">
        <v>5037</v>
      </c>
      <c r="B5899" t="s">
        <v>1</v>
      </c>
    </row>
    <row r="5900" spans="1:2" x14ac:dyDescent="0.3">
      <c r="B5900" t="s">
        <v>2220</v>
      </c>
    </row>
    <row r="5901" spans="1:2" x14ac:dyDescent="0.3">
      <c r="B5901" t="s">
        <v>2220</v>
      </c>
    </row>
    <row r="5902" spans="1:2" x14ac:dyDescent="0.3">
      <c r="A5902" t="s">
        <v>5038</v>
      </c>
      <c r="B5902" t="s">
        <v>2220</v>
      </c>
    </row>
    <row r="5903" spans="1:2" x14ac:dyDescent="0.3">
      <c r="B5903" t="s">
        <v>2220</v>
      </c>
    </row>
    <row r="5904" spans="1:2" x14ac:dyDescent="0.3">
      <c r="B5904" t="s">
        <v>2220</v>
      </c>
    </row>
    <row r="5905" spans="1:2" x14ac:dyDescent="0.3">
      <c r="A5905" t="s">
        <v>5039</v>
      </c>
      <c r="B5905" t="s">
        <v>2220</v>
      </c>
    </row>
    <row r="5906" spans="1:2" x14ac:dyDescent="0.3">
      <c r="A5906" t="s">
        <v>5040</v>
      </c>
      <c r="B5906" t="s">
        <v>2220</v>
      </c>
    </row>
    <row r="5907" spans="1:2" x14ac:dyDescent="0.3">
      <c r="A5907" t="s">
        <v>5041</v>
      </c>
      <c r="B5907" t="s">
        <v>2220</v>
      </c>
    </row>
    <row r="5908" spans="1:2" x14ac:dyDescent="0.3">
      <c r="B5908" t="s">
        <v>2220</v>
      </c>
    </row>
    <row r="5909" spans="1:2" x14ac:dyDescent="0.3">
      <c r="B5909" t="s">
        <v>2220</v>
      </c>
    </row>
    <row r="5910" spans="1:2" x14ac:dyDescent="0.3">
      <c r="B5910" t="s">
        <v>2220</v>
      </c>
    </row>
    <row r="5911" spans="1:2" x14ac:dyDescent="0.3">
      <c r="B5911" t="s">
        <v>2220</v>
      </c>
    </row>
    <row r="5912" spans="1:2" x14ac:dyDescent="0.3">
      <c r="A5912" t="s">
        <v>5042</v>
      </c>
      <c r="B5912" t="s">
        <v>2220</v>
      </c>
    </row>
    <row r="5913" spans="1:2" x14ac:dyDescent="0.3">
      <c r="A5913" t="s">
        <v>5043</v>
      </c>
      <c r="B5913" t="s">
        <v>2220</v>
      </c>
    </row>
    <row r="5914" spans="1:2" x14ac:dyDescent="0.3">
      <c r="B5914" t="s">
        <v>2220</v>
      </c>
    </row>
    <row r="5915" spans="1:2" x14ac:dyDescent="0.3">
      <c r="B5915" t="s">
        <v>2220</v>
      </c>
    </row>
    <row r="5916" spans="1:2" x14ac:dyDescent="0.3">
      <c r="A5916" t="s">
        <v>5044</v>
      </c>
      <c r="B5916" t="s">
        <v>2220</v>
      </c>
    </row>
    <row r="5917" spans="1:2" x14ac:dyDescent="0.3">
      <c r="A5917" t="s">
        <v>5045</v>
      </c>
      <c r="B5917" t="s">
        <v>2220</v>
      </c>
    </row>
    <row r="5918" spans="1:2" x14ac:dyDescent="0.3">
      <c r="A5918" t="s">
        <v>5046</v>
      </c>
      <c r="B5918" t="s">
        <v>2220</v>
      </c>
    </row>
    <row r="5919" spans="1:2" x14ac:dyDescent="0.3">
      <c r="A5919" t="s">
        <v>5047</v>
      </c>
      <c r="B5919" t="s">
        <v>2278</v>
      </c>
    </row>
    <row r="5920" spans="1:2" x14ac:dyDescent="0.3">
      <c r="A5920" t="s">
        <v>5048</v>
      </c>
      <c r="B5920" t="s">
        <v>1622</v>
      </c>
    </row>
    <row r="5921" spans="1:2" x14ac:dyDescent="0.3">
      <c r="B5921" t="s">
        <v>1</v>
      </c>
    </row>
    <row r="5922" spans="1:2" x14ac:dyDescent="0.3">
      <c r="B5922" t="s">
        <v>1</v>
      </c>
    </row>
    <row r="5923" spans="1:2" x14ac:dyDescent="0.3">
      <c r="A5923" t="s">
        <v>5049</v>
      </c>
      <c r="B5923" t="s">
        <v>2278</v>
      </c>
    </row>
    <row r="5924" spans="1:2" x14ac:dyDescent="0.3">
      <c r="A5924" t="s">
        <v>5050</v>
      </c>
      <c r="B5924" t="s">
        <v>2278</v>
      </c>
    </row>
    <row r="5925" spans="1:2" x14ac:dyDescent="0.3">
      <c r="B5925" t="s">
        <v>2278</v>
      </c>
    </row>
    <row r="5926" spans="1:2" x14ac:dyDescent="0.3">
      <c r="A5926" t="s">
        <v>5051</v>
      </c>
      <c r="B5926" t="s">
        <v>2278</v>
      </c>
    </row>
    <row r="5927" spans="1:2" x14ac:dyDescent="0.3">
      <c r="A5927" t="s">
        <v>5052</v>
      </c>
      <c r="B5927" t="s">
        <v>2278</v>
      </c>
    </row>
    <row r="5928" spans="1:2" x14ac:dyDescent="0.3">
      <c r="A5928" t="s">
        <v>5053</v>
      </c>
      <c r="B5928" t="s">
        <v>2278</v>
      </c>
    </row>
    <row r="5929" spans="1:2" x14ac:dyDescent="0.3">
      <c r="A5929" t="s">
        <v>5054</v>
      </c>
      <c r="B5929" t="s">
        <v>2278</v>
      </c>
    </row>
    <row r="5930" spans="1:2" x14ac:dyDescent="0.3">
      <c r="A5930" t="s">
        <v>5055</v>
      </c>
      <c r="B5930" t="s">
        <v>885</v>
      </c>
    </row>
    <row r="5931" spans="1:2" x14ac:dyDescent="0.3">
      <c r="A5931" t="s">
        <v>5056</v>
      </c>
      <c r="B5931" t="s">
        <v>173</v>
      </c>
    </row>
    <row r="5932" spans="1:2" x14ac:dyDescent="0.3">
      <c r="A5932" t="s">
        <v>5057</v>
      </c>
      <c r="B5932" t="s">
        <v>173</v>
      </c>
    </row>
    <row r="5933" spans="1:2" x14ac:dyDescent="0.3">
      <c r="A5933" t="s">
        <v>5058</v>
      </c>
      <c r="B5933" t="s">
        <v>173</v>
      </c>
    </row>
    <row r="5934" spans="1:2" x14ac:dyDescent="0.3">
      <c r="B5934" t="s">
        <v>166</v>
      </c>
    </row>
    <row r="5935" spans="1:2" x14ac:dyDescent="0.3">
      <c r="A5935" t="s">
        <v>5059</v>
      </c>
      <c r="B5935" t="s">
        <v>173</v>
      </c>
    </row>
    <row r="5936" spans="1:2" x14ac:dyDescent="0.3">
      <c r="A5936" t="s">
        <v>5060</v>
      </c>
      <c r="B5936" t="s">
        <v>173</v>
      </c>
    </row>
    <row r="5937" spans="1:2" x14ac:dyDescent="0.3">
      <c r="A5937" t="s">
        <v>5061</v>
      </c>
      <c r="B5937" t="s">
        <v>173</v>
      </c>
    </row>
    <row r="5938" spans="1:2" x14ac:dyDescent="0.3">
      <c r="A5938" t="s">
        <v>5062</v>
      </c>
      <c r="B5938" t="s">
        <v>173</v>
      </c>
    </row>
    <row r="5939" spans="1:2" x14ac:dyDescent="0.3">
      <c r="A5939" t="s">
        <v>197</v>
      </c>
      <c r="B5939" t="s">
        <v>173</v>
      </c>
    </row>
    <row r="5940" spans="1:2" x14ac:dyDescent="0.3">
      <c r="A5940" t="s">
        <v>5063</v>
      </c>
      <c r="B5940" t="s">
        <v>173</v>
      </c>
    </row>
    <row r="5941" spans="1:2" x14ac:dyDescent="0.3">
      <c r="A5941" t="s">
        <v>5064</v>
      </c>
      <c r="B5941" t="s">
        <v>182</v>
      </c>
    </row>
    <row r="5942" spans="1:2" x14ac:dyDescent="0.3">
      <c r="B5942" t="s">
        <v>1</v>
      </c>
    </row>
    <row r="5943" spans="1:2" x14ac:dyDescent="0.3">
      <c r="B5943" t="s">
        <v>1</v>
      </c>
    </row>
    <row r="5944" spans="1:2" x14ac:dyDescent="0.3">
      <c r="A5944" t="s">
        <v>5065</v>
      </c>
      <c r="B5944" t="s">
        <v>182</v>
      </c>
    </row>
    <row r="5945" spans="1:2" x14ac:dyDescent="0.3">
      <c r="A5945" t="s">
        <v>5066</v>
      </c>
      <c r="B5945" t="s">
        <v>182</v>
      </c>
    </row>
    <row r="5946" spans="1:2" x14ac:dyDescent="0.3">
      <c r="A5946" t="s">
        <v>5067</v>
      </c>
      <c r="B5946" t="s">
        <v>182</v>
      </c>
    </row>
    <row r="5947" spans="1:2" x14ac:dyDescent="0.3">
      <c r="A5947" t="s">
        <v>5068</v>
      </c>
      <c r="B5947" t="s">
        <v>182</v>
      </c>
    </row>
    <row r="5948" spans="1:2" x14ac:dyDescent="0.3">
      <c r="A5948" t="s">
        <v>5069</v>
      </c>
      <c r="B5948" t="s">
        <v>182</v>
      </c>
    </row>
    <row r="5949" spans="1:2" x14ac:dyDescent="0.3">
      <c r="A5949" t="s">
        <v>5070</v>
      </c>
      <c r="B5949" t="s">
        <v>182</v>
      </c>
    </row>
    <row r="5950" spans="1:2" x14ac:dyDescent="0.3">
      <c r="A5950" t="s">
        <v>182</v>
      </c>
      <c r="B5950" t="s">
        <v>182</v>
      </c>
    </row>
    <row r="5951" spans="1:2" x14ac:dyDescent="0.3">
      <c r="A5951" t="s">
        <v>5071</v>
      </c>
      <c r="B5951" t="s">
        <v>182</v>
      </c>
    </row>
    <row r="5952" spans="1:2" x14ac:dyDescent="0.3">
      <c r="A5952" t="s">
        <v>5072</v>
      </c>
      <c r="B5952" t="s">
        <v>182</v>
      </c>
    </row>
    <row r="5953" spans="1:2" x14ac:dyDescent="0.3">
      <c r="A5953" t="s">
        <v>5073</v>
      </c>
      <c r="B5953" t="s">
        <v>182</v>
      </c>
    </row>
    <row r="5954" spans="1:2" x14ac:dyDescent="0.3">
      <c r="A5954" t="s">
        <v>5074</v>
      </c>
      <c r="B5954" t="s">
        <v>182</v>
      </c>
    </row>
    <row r="5955" spans="1:2" x14ac:dyDescent="0.3">
      <c r="A5955" t="s">
        <v>5075</v>
      </c>
      <c r="B5955" t="s">
        <v>182</v>
      </c>
    </row>
    <row r="5956" spans="1:2" x14ac:dyDescent="0.3">
      <c r="A5956" t="s">
        <v>5076</v>
      </c>
      <c r="B5956" t="s">
        <v>182</v>
      </c>
    </row>
    <row r="5957" spans="1:2" x14ac:dyDescent="0.3">
      <c r="A5957" t="s">
        <v>5077</v>
      </c>
      <c r="B5957" t="s">
        <v>182</v>
      </c>
    </row>
    <row r="5958" spans="1:2" x14ac:dyDescent="0.3">
      <c r="A5958" t="s">
        <v>1062</v>
      </c>
      <c r="B5958" t="s">
        <v>182</v>
      </c>
    </row>
    <row r="5959" spans="1:2" x14ac:dyDescent="0.3">
      <c r="A5959" t="s">
        <v>5078</v>
      </c>
      <c r="B5959" t="s">
        <v>182</v>
      </c>
    </row>
    <row r="5960" spans="1:2" x14ac:dyDescent="0.3">
      <c r="A5960" t="s">
        <v>5079</v>
      </c>
      <c r="B5960" t="s">
        <v>182</v>
      </c>
    </row>
    <row r="5961" spans="1:2" x14ac:dyDescent="0.3">
      <c r="A5961" t="s">
        <v>5080</v>
      </c>
      <c r="B5961" t="s">
        <v>182</v>
      </c>
    </row>
    <row r="5962" spans="1:2" x14ac:dyDescent="0.3">
      <c r="B5962" t="s">
        <v>1</v>
      </c>
    </row>
    <row r="5963" spans="1:2" x14ac:dyDescent="0.3">
      <c r="B5963" t="s">
        <v>97</v>
      </c>
    </row>
    <row r="5964" spans="1:2" x14ac:dyDescent="0.3">
      <c r="B5964" t="s">
        <v>97</v>
      </c>
    </row>
    <row r="5965" spans="1:2" x14ac:dyDescent="0.3">
      <c r="A5965" t="s">
        <v>5081</v>
      </c>
      <c r="B5965" t="s">
        <v>97</v>
      </c>
    </row>
    <row r="5966" spans="1:2" x14ac:dyDescent="0.3">
      <c r="B5966" t="s">
        <v>97</v>
      </c>
    </row>
    <row r="5967" spans="1:2" x14ac:dyDescent="0.3">
      <c r="B5967" t="s">
        <v>97</v>
      </c>
    </row>
    <row r="5968" spans="1:2" x14ac:dyDescent="0.3">
      <c r="B5968" t="s">
        <v>97</v>
      </c>
    </row>
    <row r="5969" spans="1:2" x14ac:dyDescent="0.3">
      <c r="B5969" t="s">
        <v>97</v>
      </c>
    </row>
    <row r="5970" spans="1:2" x14ac:dyDescent="0.3">
      <c r="B5970" t="s">
        <v>97</v>
      </c>
    </row>
    <row r="5971" spans="1:2" x14ac:dyDescent="0.3">
      <c r="A5971" t="s">
        <v>5082</v>
      </c>
      <c r="B5971" t="s">
        <v>182</v>
      </c>
    </row>
    <row r="5972" spans="1:2" x14ac:dyDescent="0.3">
      <c r="A5972" t="s">
        <v>5083</v>
      </c>
      <c r="B5972" t="s">
        <v>182</v>
      </c>
    </row>
    <row r="5973" spans="1:2" x14ac:dyDescent="0.3">
      <c r="A5973" t="s">
        <v>5084</v>
      </c>
      <c r="B5973" t="s">
        <v>182</v>
      </c>
    </row>
    <row r="5974" spans="1:2" x14ac:dyDescent="0.3">
      <c r="A5974" t="s">
        <v>5085</v>
      </c>
      <c r="B5974" t="s">
        <v>182</v>
      </c>
    </row>
    <row r="5975" spans="1:2" x14ac:dyDescent="0.3">
      <c r="A5975" t="s">
        <v>5086</v>
      </c>
      <c r="B5975" t="s">
        <v>182</v>
      </c>
    </row>
    <row r="5976" spans="1:2" x14ac:dyDescent="0.3">
      <c r="A5976" t="s">
        <v>5087</v>
      </c>
      <c r="B5976" t="s">
        <v>182</v>
      </c>
    </row>
    <row r="5977" spans="1:2" x14ac:dyDescent="0.3">
      <c r="B5977" t="s">
        <v>1</v>
      </c>
    </row>
    <row r="5978" spans="1:2" x14ac:dyDescent="0.3">
      <c r="B5978" t="s">
        <v>1</v>
      </c>
    </row>
    <row r="5979" spans="1:2" x14ac:dyDescent="0.3">
      <c r="B5979" t="s">
        <v>1</v>
      </c>
    </row>
    <row r="5980" spans="1:2" x14ac:dyDescent="0.3">
      <c r="B5980" t="s">
        <v>1</v>
      </c>
    </row>
    <row r="5981" spans="1:2" x14ac:dyDescent="0.3">
      <c r="B5981" t="s">
        <v>1</v>
      </c>
    </row>
    <row r="5982" spans="1:2" x14ac:dyDescent="0.3">
      <c r="B5982" t="s">
        <v>172</v>
      </c>
    </row>
    <row r="5983" spans="1:2" x14ac:dyDescent="0.3">
      <c r="A5983" t="s">
        <v>5088</v>
      </c>
      <c r="B5983" t="s">
        <v>182</v>
      </c>
    </row>
    <row r="5984" spans="1:2" x14ac:dyDescent="0.3">
      <c r="A5984" t="s">
        <v>5089</v>
      </c>
      <c r="B5984" t="s">
        <v>182</v>
      </c>
    </row>
    <row r="5985" spans="1:2" x14ac:dyDescent="0.3">
      <c r="A5985" t="s">
        <v>5090</v>
      </c>
      <c r="B5985" t="s">
        <v>484</v>
      </c>
    </row>
    <row r="5986" spans="1:2" x14ac:dyDescent="0.3">
      <c r="B5986" t="s">
        <v>961</v>
      </c>
    </row>
    <row r="5987" spans="1:2" x14ac:dyDescent="0.3">
      <c r="B5987" t="s">
        <v>961</v>
      </c>
    </row>
    <row r="5988" spans="1:2" x14ac:dyDescent="0.3">
      <c r="A5988" t="s">
        <v>5091</v>
      </c>
      <c r="B5988" t="s">
        <v>961</v>
      </c>
    </row>
    <row r="5989" spans="1:2" x14ac:dyDescent="0.3">
      <c r="A5989" t="s">
        <v>5092</v>
      </c>
      <c r="B5989" t="s">
        <v>961</v>
      </c>
    </row>
    <row r="5990" spans="1:2" x14ac:dyDescent="0.3">
      <c r="A5990" t="s">
        <v>5093</v>
      </c>
      <c r="B5990" t="s">
        <v>1005</v>
      </c>
    </row>
    <row r="5991" spans="1:2" x14ac:dyDescent="0.3">
      <c r="A5991" t="s">
        <v>5094</v>
      </c>
      <c r="B5991" t="s">
        <v>164</v>
      </c>
    </row>
    <row r="5992" spans="1:2" x14ac:dyDescent="0.3">
      <c r="A5992" t="s">
        <v>5095</v>
      </c>
      <c r="B5992" t="s">
        <v>1</v>
      </c>
    </row>
    <row r="5993" spans="1:2" x14ac:dyDescent="0.3">
      <c r="A5993" t="s">
        <v>5096</v>
      </c>
      <c r="B5993" t="s">
        <v>244</v>
      </c>
    </row>
    <row r="5994" spans="1:2" x14ac:dyDescent="0.3">
      <c r="A5994" t="s">
        <v>5097</v>
      </c>
      <c r="B5994" t="s">
        <v>244</v>
      </c>
    </row>
    <row r="5995" spans="1:2" x14ac:dyDescent="0.3">
      <c r="A5995" t="s">
        <v>5098</v>
      </c>
      <c r="B5995" t="s">
        <v>244</v>
      </c>
    </row>
    <row r="5996" spans="1:2" x14ac:dyDescent="0.3">
      <c r="A5996" t="s">
        <v>5099</v>
      </c>
      <c r="B5996" t="s">
        <v>244</v>
      </c>
    </row>
    <row r="5997" spans="1:2" x14ac:dyDescent="0.3">
      <c r="A5997" t="s">
        <v>5100</v>
      </c>
      <c r="B5997" t="s">
        <v>244</v>
      </c>
    </row>
    <row r="5998" spans="1:2" x14ac:dyDescent="0.3">
      <c r="A5998" t="s">
        <v>5101</v>
      </c>
      <c r="B5998" t="s">
        <v>244</v>
      </c>
    </row>
    <row r="5999" spans="1:2" x14ac:dyDescent="0.3">
      <c r="A5999" t="s">
        <v>5102</v>
      </c>
      <c r="B5999" t="s">
        <v>244</v>
      </c>
    </row>
    <row r="6000" spans="1:2" x14ac:dyDescent="0.3">
      <c r="A6000" t="s">
        <v>5103</v>
      </c>
      <c r="B6000" t="s">
        <v>979</v>
      </c>
    </row>
    <row r="6001" spans="1:2" x14ac:dyDescent="0.3">
      <c r="A6001" t="s">
        <v>5104</v>
      </c>
      <c r="B6001" t="s">
        <v>249</v>
      </c>
    </row>
    <row r="6002" spans="1:2" x14ac:dyDescent="0.3">
      <c r="B6002" t="s">
        <v>249</v>
      </c>
    </row>
    <row r="6003" spans="1:2" x14ac:dyDescent="0.3">
      <c r="B6003" t="s">
        <v>249</v>
      </c>
    </row>
    <row r="6004" spans="1:2" x14ac:dyDescent="0.3">
      <c r="A6004" t="s">
        <v>5105</v>
      </c>
      <c r="B6004" t="s">
        <v>247</v>
      </c>
    </row>
    <row r="6005" spans="1:2" x14ac:dyDescent="0.3">
      <c r="B6005" t="s">
        <v>247</v>
      </c>
    </row>
    <row r="6006" spans="1:2" x14ac:dyDescent="0.3">
      <c r="A6006" t="s">
        <v>5106</v>
      </c>
      <c r="B6006" t="s">
        <v>1062</v>
      </c>
    </row>
    <row r="6007" spans="1:2" x14ac:dyDescent="0.3">
      <c r="A6007" t="s">
        <v>5107</v>
      </c>
      <c r="B6007" t="s">
        <v>935</v>
      </c>
    </row>
    <row r="6008" spans="1:2" x14ac:dyDescent="0.3">
      <c r="A6008" t="s">
        <v>5108</v>
      </c>
      <c r="B6008" t="s">
        <v>174</v>
      </c>
    </row>
    <row r="6009" spans="1:2" x14ac:dyDescent="0.3">
      <c r="B6009" t="s">
        <v>263</v>
      </c>
    </row>
    <row r="6010" spans="1:2" x14ac:dyDescent="0.3">
      <c r="B6010" t="s">
        <v>263</v>
      </c>
    </row>
    <row r="6011" spans="1:2" x14ac:dyDescent="0.3">
      <c r="B6011" t="s">
        <v>263</v>
      </c>
    </row>
    <row r="6012" spans="1:2" x14ac:dyDescent="0.3">
      <c r="A6012" t="s">
        <v>5109</v>
      </c>
      <c r="B6012" t="s">
        <v>992</v>
      </c>
    </row>
    <row r="6013" spans="1:2" x14ac:dyDescent="0.3">
      <c r="A6013" t="s">
        <v>5110</v>
      </c>
      <c r="B6013" t="s">
        <v>992</v>
      </c>
    </row>
    <row r="6014" spans="1:2" x14ac:dyDescent="0.3">
      <c r="B6014" t="s">
        <v>992</v>
      </c>
    </row>
    <row r="6015" spans="1:2" x14ac:dyDescent="0.3">
      <c r="A6015" t="s">
        <v>5111</v>
      </c>
      <c r="B6015" t="s">
        <v>992</v>
      </c>
    </row>
    <row r="6016" spans="1:2" x14ac:dyDescent="0.3">
      <c r="B6016" t="s">
        <v>196</v>
      </c>
    </row>
    <row r="6017" spans="1:2" x14ac:dyDescent="0.3">
      <c r="B6017" t="s">
        <v>196</v>
      </c>
    </row>
    <row r="6018" spans="1:2" x14ac:dyDescent="0.3">
      <c r="B6018" t="s">
        <v>196</v>
      </c>
    </row>
    <row r="6019" spans="1:2" x14ac:dyDescent="0.3">
      <c r="A6019" t="s">
        <v>5112</v>
      </c>
      <c r="B6019" t="s">
        <v>259</v>
      </c>
    </row>
    <row r="6020" spans="1:2" x14ac:dyDescent="0.3">
      <c r="A6020" t="s">
        <v>1113</v>
      </c>
      <c r="B6020" t="s">
        <v>1002</v>
      </c>
    </row>
    <row r="6021" spans="1:2" x14ac:dyDescent="0.3">
      <c r="B6021" t="s">
        <v>1115</v>
      </c>
    </row>
    <row r="6022" spans="1:2" x14ac:dyDescent="0.3">
      <c r="B6022" t="s">
        <v>247</v>
      </c>
    </row>
    <row r="6023" spans="1:2" x14ac:dyDescent="0.3">
      <c r="A6023" t="s">
        <v>5113</v>
      </c>
      <c r="B6023" t="s">
        <v>247</v>
      </c>
    </row>
    <row r="6024" spans="1:2" x14ac:dyDescent="0.3">
      <c r="A6024" t="s">
        <v>5114</v>
      </c>
      <c r="B6024" t="s">
        <v>554</v>
      </c>
    </row>
    <row r="6025" spans="1:2" x14ac:dyDescent="0.3">
      <c r="B6025" t="s">
        <v>246</v>
      </c>
    </row>
    <row r="6026" spans="1:2" x14ac:dyDescent="0.3">
      <c r="B6026" t="s">
        <v>246</v>
      </c>
    </row>
    <row r="6027" spans="1:2" x14ac:dyDescent="0.3">
      <c r="A6027" t="s">
        <v>5115</v>
      </c>
      <c r="B6027" t="s">
        <v>246</v>
      </c>
    </row>
    <row r="6028" spans="1:2" x14ac:dyDescent="0.3">
      <c r="B6028" t="s">
        <v>5116</v>
      </c>
    </row>
    <row r="6029" spans="1:2" x14ac:dyDescent="0.3">
      <c r="B6029" t="s">
        <v>5116</v>
      </c>
    </row>
    <row r="6030" spans="1:2" x14ac:dyDescent="0.3">
      <c r="A6030" t="s">
        <v>5117</v>
      </c>
      <c r="B6030" t="s">
        <v>103</v>
      </c>
    </row>
    <row r="6031" spans="1:2" x14ac:dyDescent="0.3">
      <c r="B6031" t="s">
        <v>618</v>
      </c>
    </row>
    <row r="6032" spans="1:2" x14ac:dyDescent="0.3">
      <c r="B6032" t="s">
        <v>618</v>
      </c>
    </row>
    <row r="6033" spans="1:2" x14ac:dyDescent="0.3">
      <c r="A6033" t="s">
        <v>5118</v>
      </c>
      <c r="B6033" t="s">
        <v>1694</v>
      </c>
    </row>
    <row r="6034" spans="1:2" x14ac:dyDescent="0.3">
      <c r="A6034" t="s">
        <v>5119</v>
      </c>
      <c r="B6034" t="s">
        <v>176</v>
      </c>
    </row>
    <row r="6035" spans="1:2" x14ac:dyDescent="0.3">
      <c r="A6035" t="s">
        <v>5120</v>
      </c>
      <c r="B6035" t="s">
        <v>176</v>
      </c>
    </row>
    <row r="6036" spans="1:2" x14ac:dyDescent="0.3">
      <c r="A6036" t="s">
        <v>5121</v>
      </c>
      <c r="B6036" t="s">
        <v>181</v>
      </c>
    </row>
    <row r="6037" spans="1:2" x14ac:dyDescent="0.3">
      <c r="A6037" t="s">
        <v>5122</v>
      </c>
      <c r="B6037" t="s">
        <v>191</v>
      </c>
    </row>
    <row r="6038" spans="1:2" x14ac:dyDescent="0.3">
      <c r="B6038" t="s">
        <v>2</v>
      </c>
    </row>
    <row r="6039" spans="1:2" x14ac:dyDescent="0.3">
      <c r="A6039" t="s">
        <v>5123</v>
      </c>
      <c r="B6039" t="s">
        <v>172</v>
      </c>
    </row>
    <row r="6040" spans="1:2" x14ac:dyDescent="0.3">
      <c r="A6040" t="s">
        <v>5124</v>
      </c>
      <c r="B6040" t="s">
        <v>172</v>
      </c>
    </row>
    <row r="6041" spans="1:2" x14ac:dyDescent="0.3">
      <c r="A6041" t="s">
        <v>5125</v>
      </c>
      <c r="B6041" t="s">
        <v>252</v>
      </c>
    </row>
    <row r="6042" spans="1:2" x14ac:dyDescent="0.3">
      <c r="A6042" t="s">
        <v>5126</v>
      </c>
      <c r="B6042" t="s">
        <v>252</v>
      </c>
    </row>
    <row r="6043" spans="1:2" x14ac:dyDescent="0.3">
      <c r="A6043" t="s">
        <v>5127</v>
      </c>
      <c r="B6043" t="s">
        <v>252</v>
      </c>
    </row>
    <row r="6044" spans="1:2" x14ac:dyDescent="0.3">
      <c r="B6044" t="s">
        <v>252</v>
      </c>
    </row>
    <row r="6045" spans="1:2" x14ac:dyDescent="0.3">
      <c r="A6045" t="s">
        <v>5128</v>
      </c>
      <c r="B6045" t="s">
        <v>216</v>
      </c>
    </row>
    <row r="6046" spans="1:2" x14ac:dyDescent="0.3">
      <c r="A6046" t="s">
        <v>5129</v>
      </c>
      <c r="B6046" t="s">
        <v>2324</v>
      </c>
    </row>
    <row r="6047" spans="1:2" x14ac:dyDescent="0.3">
      <c r="A6047" t="s">
        <v>5130</v>
      </c>
      <c r="B6047" t="s">
        <v>2670</v>
      </c>
    </row>
    <row r="6048" spans="1:2" x14ac:dyDescent="0.3">
      <c r="A6048" t="s">
        <v>5131</v>
      </c>
      <c r="B6048" t="s">
        <v>2</v>
      </c>
    </row>
    <row r="6049" spans="1:2" x14ac:dyDescent="0.3">
      <c r="B6049" t="s">
        <v>2390</v>
      </c>
    </row>
    <row r="6050" spans="1:2" x14ac:dyDescent="0.3">
      <c r="A6050" t="s">
        <v>5132</v>
      </c>
      <c r="B6050" t="s">
        <v>166</v>
      </c>
    </row>
    <row r="6051" spans="1:2" x14ac:dyDescent="0.3">
      <c r="B6051" t="s">
        <v>166</v>
      </c>
    </row>
    <row r="6052" spans="1:2" x14ac:dyDescent="0.3">
      <c r="B6052" t="s">
        <v>166</v>
      </c>
    </row>
    <row r="6053" spans="1:2" x14ac:dyDescent="0.3">
      <c r="B6053" t="s">
        <v>166</v>
      </c>
    </row>
    <row r="6054" spans="1:2" x14ac:dyDescent="0.3">
      <c r="B6054" t="s">
        <v>166</v>
      </c>
    </row>
    <row r="6055" spans="1:2" x14ac:dyDescent="0.3">
      <c r="A6055" t="s">
        <v>5133</v>
      </c>
      <c r="B6055" t="s">
        <v>166</v>
      </c>
    </row>
    <row r="6056" spans="1:2" x14ac:dyDescent="0.3">
      <c r="A6056" t="s">
        <v>5134</v>
      </c>
      <c r="B6056" t="s">
        <v>166</v>
      </c>
    </row>
    <row r="6057" spans="1:2" x14ac:dyDescent="0.3">
      <c r="A6057" t="s">
        <v>5135</v>
      </c>
      <c r="B6057" t="s">
        <v>166</v>
      </c>
    </row>
    <row r="6058" spans="1:2" x14ac:dyDescent="0.3">
      <c r="B6058" t="s">
        <v>166</v>
      </c>
    </row>
    <row r="6059" spans="1:2" x14ac:dyDescent="0.3">
      <c r="B6059" t="s">
        <v>166</v>
      </c>
    </row>
    <row r="6060" spans="1:2" x14ac:dyDescent="0.3">
      <c r="B6060" t="s">
        <v>166</v>
      </c>
    </row>
    <row r="6061" spans="1:2" x14ac:dyDescent="0.3">
      <c r="B6061" t="s">
        <v>166</v>
      </c>
    </row>
    <row r="6062" spans="1:2" x14ac:dyDescent="0.3">
      <c r="B6062" t="s">
        <v>166</v>
      </c>
    </row>
    <row r="6063" spans="1:2" x14ac:dyDescent="0.3">
      <c r="B6063" t="s">
        <v>166</v>
      </c>
    </row>
    <row r="6064" spans="1:2" x14ac:dyDescent="0.3">
      <c r="B6064" t="s">
        <v>166</v>
      </c>
    </row>
    <row r="6065" spans="1:2" x14ac:dyDescent="0.3">
      <c r="A6065" t="s">
        <v>5136</v>
      </c>
      <c r="B6065" t="s">
        <v>181</v>
      </c>
    </row>
    <row r="6066" spans="1:2" x14ac:dyDescent="0.3">
      <c r="A6066" t="s">
        <v>5137</v>
      </c>
      <c r="B6066" t="s">
        <v>181</v>
      </c>
    </row>
    <row r="6067" spans="1:2" x14ac:dyDescent="0.3">
      <c r="A6067" t="s">
        <v>5138</v>
      </c>
      <c r="B6067" t="s">
        <v>168</v>
      </c>
    </row>
    <row r="6068" spans="1:2" x14ac:dyDescent="0.3">
      <c r="A6068" t="s">
        <v>5139</v>
      </c>
      <c r="B6068" t="s">
        <v>102</v>
      </c>
    </row>
    <row r="6069" spans="1:2" x14ac:dyDescent="0.3">
      <c r="A6069" t="s">
        <v>5140</v>
      </c>
      <c r="B6069" t="s">
        <v>97</v>
      </c>
    </row>
    <row r="6070" spans="1:2" x14ac:dyDescent="0.3">
      <c r="A6070" t="s">
        <v>173</v>
      </c>
      <c r="B6070" t="s">
        <v>97</v>
      </c>
    </row>
    <row r="6071" spans="1:2" x14ac:dyDescent="0.3">
      <c r="A6071" t="s">
        <v>5141</v>
      </c>
      <c r="B6071" t="s">
        <v>1</v>
      </c>
    </row>
    <row r="6072" spans="1:2" x14ac:dyDescent="0.3">
      <c r="A6072" t="s">
        <v>5142</v>
      </c>
      <c r="B6072" t="s">
        <v>1</v>
      </c>
    </row>
    <row r="6073" spans="1:2" x14ac:dyDescent="0.3">
      <c r="A6073" t="s">
        <v>5143</v>
      </c>
      <c r="B6073" t="s">
        <v>1</v>
      </c>
    </row>
    <row r="6074" spans="1:2" x14ac:dyDescent="0.3">
      <c r="A6074" t="s">
        <v>5144</v>
      </c>
      <c r="B6074" t="s">
        <v>1</v>
      </c>
    </row>
    <row r="6075" spans="1:2" x14ac:dyDescent="0.3">
      <c r="A6075" t="s">
        <v>5145</v>
      </c>
      <c r="B6075" t="s">
        <v>97</v>
      </c>
    </row>
    <row r="6076" spans="1:2" x14ac:dyDescent="0.3">
      <c r="A6076" t="s">
        <v>5146</v>
      </c>
      <c r="B6076" t="s">
        <v>1762</v>
      </c>
    </row>
    <row r="6077" spans="1:2" x14ac:dyDescent="0.3">
      <c r="A6077" t="s">
        <v>5147</v>
      </c>
      <c r="B6077" t="s">
        <v>1762</v>
      </c>
    </row>
    <row r="6078" spans="1:2" x14ac:dyDescent="0.3">
      <c r="A6078" t="s">
        <v>5148</v>
      </c>
      <c r="B6078" t="s">
        <v>1762</v>
      </c>
    </row>
    <row r="6079" spans="1:2" x14ac:dyDescent="0.3">
      <c r="B6079" t="s">
        <v>1</v>
      </c>
    </row>
    <row r="6080" spans="1:2" x14ac:dyDescent="0.3">
      <c r="A6080" t="s">
        <v>5149</v>
      </c>
      <c r="B6080" t="s">
        <v>176</v>
      </c>
    </row>
    <row r="6081" spans="1:2" x14ac:dyDescent="0.3">
      <c r="A6081" t="s">
        <v>5150</v>
      </c>
      <c r="B6081" t="s">
        <v>176</v>
      </c>
    </row>
    <row r="6082" spans="1:2" x14ac:dyDescent="0.3">
      <c r="A6082" t="s">
        <v>5151</v>
      </c>
      <c r="B6082" t="s">
        <v>176</v>
      </c>
    </row>
    <row r="6083" spans="1:2" x14ac:dyDescent="0.3">
      <c r="A6083" t="s">
        <v>5152</v>
      </c>
      <c r="B6083" t="s">
        <v>176</v>
      </c>
    </row>
    <row r="6084" spans="1:2" x14ac:dyDescent="0.3">
      <c r="A6084" t="s">
        <v>5153</v>
      </c>
      <c r="B6084" t="s">
        <v>896</v>
      </c>
    </row>
    <row r="6085" spans="1:2" x14ac:dyDescent="0.3">
      <c r="A6085" t="s">
        <v>5154</v>
      </c>
      <c r="B6085" t="s">
        <v>176</v>
      </c>
    </row>
    <row r="6086" spans="1:2" x14ac:dyDescent="0.3">
      <c r="A6086" t="s">
        <v>5155</v>
      </c>
      <c r="B6086" t="s">
        <v>1</v>
      </c>
    </row>
    <row r="6087" spans="1:2" x14ac:dyDescent="0.3">
      <c r="B6087" t="s">
        <v>192</v>
      </c>
    </row>
    <row r="6088" spans="1:2" x14ac:dyDescent="0.3">
      <c r="A6088" t="s">
        <v>5156</v>
      </c>
      <c r="B6088" t="s">
        <v>1</v>
      </c>
    </row>
    <row r="6089" spans="1:2" x14ac:dyDescent="0.3">
      <c r="A6089" t="s">
        <v>5157</v>
      </c>
      <c r="B6089" t="s">
        <v>258</v>
      </c>
    </row>
    <row r="6090" spans="1:2" x14ac:dyDescent="0.3">
      <c r="A6090" t="s">
        <v>5158</v>
      </c>
      <c r="B6090" t="s">
        <v>1</v>
      </c>
    </row>
    <row r="6091" spans="1:2" x14ac:dyDescent="0.3">
      <c r="A6091" t="s">
        <v>5159</v>
      </c>
      <c r="B6091" t="s">
        <v>1</v>
      </c>
    </row>
    <row r="6092" spans="1:2" x14ac:dyDescent="0.3">
      <c r="A6092" t="s">
        <v>5160</v>
      </c>
      <c r="B6092" t="s">
        <v>1</v>
      </c>
    </row>
    <row r="6093" spans="1:2" x14ac:dyDescent="0.3">
      <c r="A6093" t="s">
        <v>5161</v>
      </c>
      <c r="B6093" t="s">
        <v>2353</v>
      </c>
    </row>
    <row r="6094" spans="1:2" x14ac:dyDescent="0.3">
      <c r="A6094" t="s">
        <v>5162</v>
      </c>
      <c r="B6094" t="s">
        <v>1728</v>
      </c>
    </row>
    <row r="6095" spans="1:2" x14ac:dyDescent="0.3">
      <c r="B6095" t="s">
        <v>1002</v>
      </c>
    </row>
    <row r="6096" spans="1:2" x14ac:dyDescent="0.3">
      <c r="A6096" t="s">
        <v>5163</v>
      </c>
      <c r="B6096" t="s">
        <v>176</v>
      </c>
    </row>
    <row r="6097" spans="1:2" x14ac:dyDescent="0.3">
      <c r="B6097" t="s">
        <v>1002</v>
      </c>
    </row>
    <row r="6098" spans="1:2" x14ac:dyDescent="0.3">
      <c r="A6098" t="s">
        <v>5164</v>
      </c>
      <c r="B6098" t="s">
        <v>172</v>
      </c>
    </row>
    <row r="6099" spans="1:2" x14ac:dyDescent="0.3">
      <c r="A6099" t="s">
        <v>5165</v>
      </c>
      <c r="B6099" t="s">
        <v>1</v>
      </c>
    </row>
    <row r="6100" spans="1:2" x14ac:dyDescent="0.3">
      <c r="A6100" t="s">
        <v>5166</v>
      </c>
      <c r="B6100" t="s">
        <v>1</v>
      </c>
    </row>
    <row r="6101" spans="1:2" x14ac:dyDescent="0.3">
      <c r="B6101" t="s">
        <v>725</v>
      </c>
    </row>
    <row r="6102" spans="1:2" x14ac:dyDescent="0.3">
      <c r="B6102" t="s">
        <v>725</v>
      </c>
    </row>
    <row r="6103" spans="1:2" x14ac:dyDescent="0.3">
      <c r="B6103" t="s">
        <v>725</v>
      </c>
    </row>
    <row r="6104" spans="1:2" x14ac:dyDescent="0.3">
      <c r="A6104" t="s">
        <v>5167</v>
      </c>
      <c r="B6104" t="s">
        <v>176</v>
      </c>
    </row>
    <row r="6105" spans="1:2" x14ac:dyDescent="0.3">
      <c r="A6105" t="s">
        <v>5168</v>
      </c>
      <c r="B6105" t="s">
        <v>176</v>
      </c>
    </row>
    <row r="6106" spans="1:2" x14ac:dyDescent="0.3">
      <c r="A6106" t="s">
        <v>5169</v>
      </c>
      <c r="B6106" t="s">
        <v>182</v>
      </c>
    </row>
    <row r="6107" spans="1:2" x14ac:dyDescent="0.3">
      <c r="A6107" t="s">
        <v>5170</v>
      </c>
      <c r="B6107" t="s">
        <v>182</v>
      </c>
    </row>
    <row r="6108" spans="1:2" x14ac:dyDescent="0.3">
      <c r="B6108" t="s">
        <v>182</v>
      </c>
    </row>
    <row r="6109" spans="1:2" x14ac:dyDescent="0.3">
      <c r="A6109" t="s">
        <v>5171</v>
      </c>
      <c r="B6109" t="s">
        <v>182</v>
      </c>
    </row>
    <row r="6110" spans="1:2" x14ac:dyDescent="0.3">
      <c r="B6110" t="s">
        <v>182</v>
      </c>
    </row>
    <row r="6111" spans="1:2" x14ac:dyDescent="0.3">
      <c r="A6111" t="s">
        <v>5172</v>
      </c>
      <c r="B6111" t="s">
        <v>182</v>
      </c>
    </row>
    <row r="6112" spans="1:2" x14ac:dyDescent="0.3">
      <c r="A6112" t="s">
        <v>3197</v>
      </c>
      <c r="B6112" t="s">
        <v>910</v>
      </c>
    </row>
    <row r="6113" spans="1:2" x14ac:dyDescent="0.3">
      <c r="A6113" t="s">
        <v>5173</v>
      </c>
      <c r="B6113" t="s">
        <v>169</v>
      </c>
    </row>
    <row r="6114" spans="1:2" x14ac:dyDescent="0.3">
      <c r="A6114" t="s">
        <v>5174</v>
      </c>
      <c r="B6114" t="s">
        <v>72</v>
      </c>
    </row>
    <row r="6115" spans="1:2" x14ac:dyDescent="0.3">
      <c r="B6115" t="s">
        <v>72</v>
      </c>
    </row>
    <row r="6116" spans="1:2" x14ac:dyDescent="0.3">
      <c r="A6116" t="s">
        <v>5175</v>
      </c>
      <c r="B6116" t="s">
        <v>72</v>
      </c>
    </row>
    <row r="6117" spans="1:2" x14ac:dyDescent="0.3">
      <c r="A6117" t="s">
        <v>5176</v>
      </c>
      <c r="B6117" t="s">
        <v>72</v>
      </c>
    </row>
    <row r="6118" spans="1:2" x14ac:dyDescent="0.3">
      <c r="A6118" t="s">
        <v>5177</v>
      </c>
      <c r="B6118" t="s">
        <v>72</v>
      </c>
    </row>
    <row r="6119" spans="1:2" x14ac:dyDescent="0.3">
      <c r="B6119" t="s">
        <v>190</v>
      </c>
    </row>
    <row r="6120" spans="1:2" x14ac:dyDescent="0.3">
      <c r="A6120" t="s">
        <v>5178</v>
      </c>
      <c r="B6120" t="s">
        <v>169</v>
      </c>
    </row>
    <row r="6121" spans="1:2" x14ac:dyDescent="0.3">
      <c r="B6121" t="s">
        <v>72</v>
      </c>
    </row>
    <row r="6122" spans="1:2" x14ac:dyDescent="0.3">
      <c r="B6122" t="s">
        <v>167</v>
      </c>
    </row>
    <row r="6123" spans="1:2" x14ac:dyDescent="0.3">
      <c r="A6123" t="s">
        <v>5179</v>
      </c>
      <c r="B6123" t="s">
        <v>184</v>
      </c>
    </row>
    <row r="6124" spans="1:2" x14ac:dyDescent="0.3">
      <c r="A6124" t="s">
        <v>5180</v>
      </c>
      <c r="B6124" t="s">
        <v>184</v>
      </c>
    </row>
    <row r="6125" spans="1:2" x14ac:dyDescent="0.3">
      <c r="A6125" t="s">
        <v>5181</v>
      </c>
      <c r="B6125" t="s">
        <v>168</v>
      </c>
    </row>
    <row r="6126" spans="1:2" x14ac:dyDescent="0.3">
      <c r="A6126" t="s">
        <v>5182</v>
      </c>
      <c r="B6126" t="s">
        <v>174</v>
      </c>
    </row>
    <row r="6127" spans="1:2" x14ac:dyDescent="0.3">
      <c r="A6127" t="s">
        <v>5183</v>
      </c>
      <c r="B6127" t="s">
        <v>174</v>
      </c>
    </row>
    <row r="6128" spans="1:2" x14ac:dyDescent="0.3">
      <c r="A6128" t="s">
        <v>5184</v>
      </c>
      <c r="B6128" t="s">
        <v>174</v>
      </c>
    </row>
    <row r="6129" spans="1:2" x14ac:dyDescent="0.3">
      <c r="A6129" t="s">
        <v>5185</v>
      </c>
      <c r="B6129" t="s">
        <v>174</v>
      </c>
    </row>
    <row r="6130" spans="1:2" x14ac:dyDescent="0.3">
      <c r="B6130" t="s">
        <v>896</v>
      </c>
    </row>
    <row r="6131" spans="1:2" x14ac:dyDescent="0.3">
      <c r="A6131" t="s">
        <v>5186</v>
      </c>
      <c r="B6131" t="s">
        <v>896</v>
      </c>
    </row>
    <row r="6132" spans="1:2" x14ac:dyDescent="0.3">
      <c r="A6132" t="s">
        <v>5187</v>
      </c>
      <c r="B6132" t="s">
        <v>201</v>
      </c>
    </row>
    <row r="6133" spans="1:2" x14ac:dyDescent="0.3">
      <c r="B6133" t="s">
        <v>2670</v>
      </c>
    </row>
    <row r="6134" spans="1:2" x14ac:dyDescent="0.3">
      <c r="A6134" t="s">
        <v>246</v>
      </c>
      <c r="B6134" t="s">
        <v>2670</v>
      </c>
    </row>
    <row r="6135" spans="1:2" x14ac:dyDescent="0.3">
      <c r="A6135" t="s">
        <v>5188</v>
      </c>
      <c r="B6135" t="s">
        <v>2670</v>
      </c>
    </row>
    <row r="6136" spans="1:2" x14ac:dyDescent="0.3">
      <c r="A6136" t="s">
        <v>5189</v>
      </c>
      <c r="B6136" t="s">
        <v>193</v>
      </c>
    </row>
    <row r="6137" spans="1:2" x14ac:dyDescent="0.3">
      <c r="A6137" t="s">
        <v>5190</v>
      </c>
      <c r="B6137" t="s">
        <v>193</v>
      </c>
    </row>
    <row r="6138" spans="1:2" x14ac:dyDescent="0.3">
      <c r="A6138" t="s">
        <v>5191</v>
      </c>
      <c r="B6138" t="s">
        <v>2431</v>
      </c>
    </row>
    <row r="6139" spans="1:2" x14ac:dyDescent="0.3">
      <c r="A6139" t="s">
        <v>5192</v>
      </c>
      <c r="B6139" t="s">
        <v>2431</v>
      </c>
    </row>
    <row r="6140" spans="1:2" x14ac:dyDescent="0.3">
      <c r="A6140" t="s">
        <v>5193</v>
      </c>
      <c r="B6140" t="s">
        <v>2390</v>
      </c>
    </row>
    <row r="6141" spans="1:2" x14ac:dyDescent="0.3">
      <c r="A6141" t="s">
        <v>5194</v>
      </c>
      <c r="B6141" t="s">
        <v>177</v>
      </c>
    </row>
    <row r="6142" spans="1:2" x14ac:dyDescent="0.3">
      <c r="A6142" t="s">
        <v>5195</v>
      </c>
      <c r="B6142" t="s">
        <v>1978</v>
      </c>
    </row>
    <row r="6143" spans="1:2" x14ac:dyDescent="0.3">
      <c r="A6143" t="s">
        <v>5196</v>
      </c>
      <c r="B6143" t="s">
        <v>171</v>
      </c>
    </row>
    <row r="6144" spans="1:2" x14ac:dyDescent="0.3">
      <c r="A6144" t="s">
        <v>5197</v>
      </c>
      <c r="B6144" t="s">
        <v>171</v>
      </c>
    </row>
    <row r="6145" spans="1:2" x14ac:dyDescent="0.3">
      <c r="A6145" t="s">
        <v>5198</v>
      </c>
      <c r="B6145" t="s">
        <v>171</v>
      </c>
    </row>
    <row r="6146" spans="1:2" x14ac:dyDescent="0.3">
      <c r="A6146" t="s">
        <v>5199</v>
      </c>
      <c r="B6146" t="s">
        <v>171</v>
      </c>
    </row>
    <row r="6147" spans="1:2" x14ac:dyDescent="0.3">
      <c r="A6147" t="s">
        <v>5200</v>
      </c>
      <c r="B6147" t="s">
        <v>171</v>
      </c>
    </row>
    <row r="6148" spans="1:2" x14ac:dyDescent="0.3">
      <c r="A6148" t="s">
        <v>5201</v>
      </c>
      <c r="B6148" t="s">
        <v>171</v>
      </c>
    </row>
    <row r="6149" spans="1:2" x14ac:dyDescent="0.3">
      <c r="A6149" t="s">
        <v>5202</v>
      </c>
      <c r="B6149" t="s">
        <v>171</v>
      </c>
    </row>
    <row r="6150" spans="1:2" x14ac:dyDescent="0.3">
      <c r="A6150" t="s">
        <v>5203</v>
      </c>
      <c r="B6150" t="s">
        <v>171</v>
      </c>
    </row>
    <row r="6151" spans="1:2" x14ac:dyDescent="0.3">
      <c r="A6151" t="s">
        <v>5204</v>
      </c>
      <c r="B6151" t="s">
        <v>171</v>
      </c>
    </row>
    <row r="6152" spans="1:2" x14ac:dyDescent="0.3">
      <c r="A6152" t="s">
        <v>5205</v>
      </c>
      <c r="B6152" t="s">
        <v>171</v>
      </c>
    </row>
    <row r="6153" spans="1:2" x14ac:dyDescent="0.3">
      <c r="A6153" t="s">
        <v>5206</v>
      </c>
      <c r="B6153" t="s">
        <v>171</v>
      </c>
    </row>
    <row r="6154" spans="1:2" x14ac:dyDescent="0.3">
      <c r="A6154" t="s">
        <v>5207</v>
      </c>
      <c r="B6154" t="s">
        <v>171</v>
      </c>
    </row>
    <row r="6155" spans="1:2" x14ac:dyDescent="0.3">
      <c r="B6155" t="s">
        <v>1751</v>
      </c>
    </row>
    <row r="6156" spans="1:2" x14ac:dyDescent="0.3">
      <c r="A6156" t="s">
        <v>5208</v>
      </c>
      <c r="B6156" t="s">
        <v>1</v>
      </c>
    </row>
    <row r="6157" spans="1:2" x14ac:dyDescent="0.3">
      <c r="A6157" t="s">
        <v>5209</v>
      </c>
      <c r="B6157" t="s">
        <v>1</v>
      </c>
    </row>
    <row r="6158" spans="1:2" x14ac:dyDescent="0.3">
      <c r="A6158" t="s">
        <v>5210</v>
      </c>
      <c r="B6158" t="s">
        <v>1</v>
      </c>
    </row>
    <row r="6159" spans="1:2" x14ac:dyDescent="0.3">
      <c r="A6159" t="s">
        <v>5211</v>
      </c>
      <c r="B6159" t="s">
        <v>1</v>
      </c>
    </row>
    <row r="6160" spans="1:2" x14ac:dyDescent="0.3">
      <c r="A6160" t="s">
        <v>5212</v>
      </c>
      <c r="B6160" t="s">
        <v>1</v>
      </c>
    </row>
    <row r="6161" spans="1:2" x14ac:dyDescent="0.3">
      <c r="A6161" t="s">
        <v>5213</v>
      </c>
      <c r="B6161" t="s">
        <v>1</v>
      </c>
    </row>
    <row r="6162" spans="1:2" x14ac:dyDescent="0.3">
      <c r="A6162" t="s">
        <v>5214</v>
      </c>
      <c r="B6162" t="s">
        <v>1</v>
      </c>
    </row>
    <row r="6163" spans="1:2" x14ac:dyDescent="0.3">
      <c r="A6163" t="s">
        <v>5215</v>
      </c>
      <c r="B6163" t="s">
        <v>1</v>
      </c>
    </row>
    <row r="6164" spans="1:2" x14ac:dyDescent="0.3">
      <c r="A6164" t="s">
        <v>5216</v>
      </c>
      <c r="B6164" t="s">
        <v>1</v>
      </c>
    </row>
    <row r="6165" spans="1:2" x14ac:dyDescent="0.3">
      <c r="A6165" t="s">
        <v>5217</v>
      </c>
      <c r="B6165" t="s">
        <v>1</v>
      </c>
    </row>
    <row r="6166" spans="1:2" x14ac:dyDescent="0.3">
      <c r="A6166" t="s">
        <v>5218</v>
      </c>
      <c r="B6166" t="s">
        <v>739</v>
      </c>
    </row>
    <row r="6167" spans="1:2" x14ac:dyDescent="0.3">
      <c r="A6167" t="s">
        <v>5219</v>
      </c>
      <c r="B6167" t="s">
        <v>739</v>
      </c>
    </row>
    <row r="6168" spans="1:2" x14ac:dyDescent="0.3">
      <c r="A6168" t="s">
        <v>5220</v>
      </c>
      <c r="B6168" t="s">
        <v>739</v>
      </c>
    </row>
    <row r="6169" spans="1:2" x14ac:dyDescent="0.3">
      <c r="A6169" t="s">
        <v>5221</v>
      </c>
      <c r="B6169" t="s">
        <v>739</v>
      </c>
    </row>
    <row r="6170" spans="1:2" x14ac:dyDescent="0.3">
      <c r="A6170" t="s">
        <v>5222</v>
      </c>
      <c r="B6170" t="s">
        <v>739</v>
      </c>
    </row>
    <row r="6171" spans="1:2" x14ac:dyDescent="0.3">
      <c r="A6171" t="s">
        <v>5223</v>
      </c>
      <c r="B6171" t="s">
        <v>739</v>
      </c>
    </row>
    <row r="6172" spans="1:2" x14ac:dyDescent="0.3">
      <c r="A6172" t="s">
        <v>5224</v>
      </c>
      <c r="B6172" t="s">
        <v>739</v>
      </c>
    </row>
    <row r="6173" spans="1:2" x14ac:dyDescent="0.3">
      <c r="A6173" t="s">
        <v>5225</v>
      </c>
      <c r="B6173" t="s">
        <v>739</v>
      </c>
    </row>
    <row r="6174" spans="1:2" x14ac:dyDescent="0.3">
      <c r="A6174" t="s">
        <v>5226</v>
      </c>
      <c r="B6174" t="s">
        <v>739</v>
      </c>
    </row>
    <row r="6175" spans="1:2" x14ac:dyDescent="0.3">
      <c r="A6175" t="s">
        <v>5227</v>
      </c>
      <c r="B6175" t="s">
        <v>739</v>
      </c>
    </row>
    <row r="6176" spans="1:2" x14ac:dyDescent="0.3">
      <c r="A6176" t="s">
        <v>5228</v>
      </c>
      <c r="B6176" t="s">
        <v>739</v>
      </c>
    </row>
    <row r="6177" spans="1:2" x14ac:dyDescent="0.3">
      <c r="A6177" t="s">
        <v>5229</v>
      </c>
      <c r="B6177" t="s">
        <v>739</v>
      </c>
    </row>
    <row r="6178" spans="1:2" x14ac:dyDescent="0.3">
      <c r="A6178" t="s">
        <v>5230</v>
      </c>
      <c r="B6178" t="s">
        <v>739</v>
      </c>
    </row>
    <row r="6179" spans="1:2" x14ac:dyDescent="0.3">
      <c r="A6179" t="s">
        <v>5231</v>
      </c>
      <c r="B6179" t="s">
        <v>285</v>
      </c>
    </row>
    <row r="6180" spans="1:2" x14ac:dyDescent="0.3">
      <c r="A6180" t="s">
        <v>5232</v>
      </c>
      <c r="B6180" t="s">
        <v>1874</v>
      </c>
    </row>
    <row r="6181" spans="1:2" x14ac:dyDescent="0.3">
      <c r="A6181" t="s">
        <v>5233</v>
      </c>
      <c r="B6181" t="s">
        <v>1874</v>
      </c>
    </row>
    <row r="6182" spans="1:2" x14ac:dyDescent="0.3">
      <c r="B6182" t="s">
        <v>1874</v>
      </c>
    </row>
    <row r="6183" spans="1:2" x14ac:dyDescent="0.3">
      <c r="A6183" t="s">
        <v>5234</v>
      </c>
      <c r="B6183" t="s">
        <v>1874</v>
      </c>
    </row>
    <row r="6184" spans="1:2" x14ac:dyDescent="0.3">
      <c r="A6184" t="s">
        <v>5235</v>
      </c>
      <c r="B6184" t="s">
        <v>1874</v>
      </c>
    </row>
    <row r="6185" spans="1:2" x14ac:dyDescent="0.3">
      <c r="A6185" t="s">
        <v>5236</v>
      </c>
      <c r="B6185" t="s">
        <v>1874</v>
      </c>
    </row>
    <row r="6186" spans="1:2" x14ac:dyDescent="0.3">
      <c r="A6186" t="s">
        <v>5237</v>
      </c>
      <c r="B6186" t="s">
        <v>1874</v>
      </c>
    </row>
    <row r="6187" spans="1:2" x14ac:dyDescent="0.3">
      <c r="A6187" t="s">
        <v>5238</v>
      </c>
      <c r="B6187" t="s">
        <v>1728</v>
      </c>
    </row>
    <row r="6188" spans="1:2" x14ac:dyDescent="0.3">
      <c r="A6188" t="s">
        <v>5239</v>
      </c>
      <c r="B6188" t="s">
        <v>1728</v>
      </c>
    </row>
    <row r="6189" spans="1:2" x14ac:dyDescent="0.3">
      <c r="A6189" t="s">
        <v>5240</v>
      </c>
      <c r="B6189" t="s">
        <v>1882</v>
      </c>
    </row>
    <row r="6190" spans="1:2" x14ac:dyDescent="0.3">
      <c r="B6190" t="s">
        <v>1882</v>
      </c>
    </row>
    <row r="6191" spans="1:2" x14ac:dyDescent="0.3">
      <c r="A6191" t="s">
        <v>5241</v>
      </c>
      <c r="B6191" t="s">
        <v>1691</v>
      </c>
    </row>
    <row r="6192" spans="1:2" x14ac:dyDescent="0.3">
      <c r="A6192" t="s">
        <v>5242</v>
      </c>
      <c r="B6192" t="s">
        <v>3306</v>
      </c>
    </row>
    <row r="6193" spans="1:2" x14ac:dyDescent="0.3">
      <c r="A6193" t="s">
        <v>5243</v>
      </c>
      <c r="B6193" t="s">
        <v>3306</v>
      </c>
    </row>
    <row r="6194" spans="1:2" x14ac:dyDescent="0.3">
      <c r="A6194" t="s">
        <v>5244</v>
      </c>
      <c r="B6194" t="s">
        <v>3306</v>
      </c>
    </row>
    <row r="6195" spans="1:2" x14ac:dyDescent="0.3">
      <c r="A6195" t="s">
        <v>5245</v>
      </c>
      <c r="B6195" t="s">
        <v>3306</v>
      </c>
    </row>
    <row r="6196" spans="1:2" x14ac:dyDescent="0.3">
      <c r="A6196" t="s">
        <v>5246</v>
      </c>
      <c r="B6196" t="s">
        <v>3306</v>
      </c>
    </row>
    <row r="6197" spans="1:2" x14ac:dyDescent="0.3">
      <c r="A6197" t="s">
        <v>5247</v>
      </c>
      <c r="B6197" t="s">
        <v>3306</v>
      </c>
    </row>
    <row r="6198" spans="1:2" x14ac:dyDescent="0.3">
      <c r="A6198" t="s">
        <v>5248</v>
      </c>
      <c r="B6198" t="s">
        <v>1</v>
      </c>
    </row>
    <row r="6199" spans="1:2" x14ac:dyDescent="0.3">
      <c r="A6199" t="s">
        <v>5249</v>
      </c>
      <c r="B6199" t="s">
        <v>166</v>
      </c>
    </row>
    <row r="6200" spans="1:2" x14ac:dyDescent="0.3">
      <c r="B6200" t="s">
        <v>166</v>
      </c>
    </row>
    <row r="6201" spans="1:2" x14ac:dyDescent="0.3">
      <c r="B6201" t="s">
        <v>166</v>
      </c>
    </row>
    <row r="6202" spans="1:2" x14ac:dyDescent="0.3">
      <c r="B6202" t="s">
        <v>166</v>
      </c>
    </row>
    <row r="6203" spans="1:2" x14ac:dyDescent="0.3">
      <c r="B6203" t="s">
        <v>166</v>
      </c>
    </row>
    <row r="6204" spans="1:2" x14ac:dyDescent="0.3">
      <c r="A6204" t="s">
        <v>5250</v>
      </c>
      <c r="B6204" t="s">
        <v>1691</v>
      </c>
    </row>
    <row r="6205" spans="1:2" x14ac:dyDescent="0.3">
      <c r="A6205" t="s">
        <v>5251</v>
      </c>
      <c r="B6205" t="s">
        <v>1691</v>
      </c>
    </row>
    <row r="6206" spans="1:2" x14ac:dyDescent="0.3">
      <c r="A6206" t="s">
        <v>5252</v>
      </c>
      <c r="B6206" t="s">
        <v>1</v>
      </c>
    </row>
    <row r="6207" spans="1:2" x14ac:dyDescent="0.3">
      <c r="A6207" t="s">
        <v>5253</v>
      </c>
      <c r="B6207" t="s">
        <v>1</v>
      </c>
    </row>
    <row r="6208" spans="1:2" x14ac:dyDescent="0.3">
      <c r="B6208" t="s">
        <v>896</v>
      </c>
    </row>
    <row r="6209" spans="1:2" x14ac:dyDescent="0.3">
      <c r="A6209" t="s">
        <v>5254</v>
      </c>
      <c r="B6209" t="s">
        <v>3338</v>
      </c>
    </row>
    <row r="6210" spans="1:2" x14ac:dyDescent="0.3">
      <c r="A6210" t="s">
        <v>5255</v>
      </c>
      <c r="B6210" t="s">
        <v>3338</v>
      </c>
    </row>
    <row r="6211" spans="1:2" x14ac:dyDescent="0.3">
      <c r="A6211" t="s">
        <v>5256</v>
      </c>
      <c r="B6211" t="s">
        <v>174</v>
      </c>
    </row>
    <row r="6212" spans="1:2" x14ac:dyDescent="0.3">
      <c r="A6212" t="s">
        <v>5257</v>
      </c>
      <c r="B6212" t="s">
        <v>171</v>
      </c>
    </row>
    <row r="6213" spans="1:2" x14ac:dyDescent="0.3">
      <c r="A6213" t="s">
        <v>5258</v>
      </c>
      <c r="B6213" t="s">
        <v>171</v>
      </c>
    </row>
    <row r="6214" spans="1:2" x14ac:dyDescent="0.3">
      <c r="A6214" t="s">
        <v>5259</v>
      </c>
      <c r="B6214" t="s">
        <v>171</v>
      </c>
    </row>
    <row r="6215" spans="1:2" x14ac:dyDescent="0.3">
      <c r="A6215" t="s">
        <v>5260</v>
      </c>
      <c r="B6215" t="s">
        <v>97</v>
      </c>
    </row>
    <row r="6216" spans="1:2" x14ac:dyDescent="0.3">
      <c r="B6216" t="s">
        <v>1</v>
      </c>
    </row>
    <row r="6217" spans="1:2" x14ac:dyDescent="0.3">
      <c r="B6217" t="s">
        <v>2</v>
      </c>
    </row>
    <row r="6218" spans="1:2" x14ac:dyDescent="0.3">
      <c r="A6218" t="s">
        <v>5261</v>
      </c>
      <c r="B6218" t="s">
        <v>292</v>
      </c>
    </row>
    <row r="6219" spans="1:2" x14ac:dyDescent="0.3">
      <c r="B6219" t="s">
        <v>1</v>
      </c>
    </row>
    <row r="6220" spans="1:2" x14ac:dyDescent="0.3">
      <c r="B6220" t="s">
        <v>172</v>
      </c>
    </row>
    <row r="6221" spans="1:2" x14ac:dyDescent="0.3">
      <c r="B6221" t="s">
        <v>172</v>
      </c>
    </row>
    <row r="6222" spans="1:2" x14ac:dyDescent="0.3">
      <c r="A6222" t="s">
        <v>5262</v>
      </c>
      <c r="B6222" t="s">
        <v>1</v>
      </c>
    </row>
    <row r="6223" spans="1:2" x14ac:dyDescent="0.3">
      <c r="A6223" t="s">
        <v>5263</v>
      </c>
      <c r="B6223" t="s">
        <v>1</v>
      </c>
    </row>
    <row r="6224" spans="1:2" x14ac:dyDescent="0.3">
      <c r="A6224" t="s">
        <v>5264</v>
      </c>
      <c r="B6224" t="s">
        <v>1</v>
      </c>
    </row>
    <row r="6225" spans="1:2" x14ac:dyDescent="0.3">
      <c r="A6225" t="s">
        <v>5265</v>
      </c>
      <c r="B6225" t="s">
        <v>1</v>
      </c>
    </row>
    <row r="6226" spans="1:2" x14ac:dyDescent="0.3">
      <c r="A6226" t="s">
        <v>5266</v>
      </c>
      <c r="B6226" t="s">
        <v>1</v>
      </c>
    </row>
    <row r="6227" spans="1:2" x14ac:dyDescent="0.3">
      <c r="A6227" t="s">
        <v>5267</v>
      </c>
      <c r="B6227" t="s">
        <v>1</v>
      </c>
    </row>
    <row r="6228" spans="1:2" x14ac:dyDescent="0.3">
      <c r="A6228" t="s">
        <v>5268</v>
      </c>
      <c r="B6228" t="s">
        <v>1</v>
      </c>
    </row>
    <row r="6229" spans="1:2" x14ac:dyDescent="0.3">
      <c r="A6229" t="s">
        <v>5269</v>
      </c>
      <c r="B6229" t="s">
        <v>1</v>
      </c>
    </row>
    <row r="6230" spans="1:2" x14ac:dyDescent="0.3">
      <c r="A6230" t="s">
        <v>5270</v>
      </c>
      <c r="B6230" t="s">
        <v>1</v>
      </c>
    </row>
    <row r="6231" spans="1:2" x14ac:dyDescent="0.3">
      <c r="A6231" t="s">
        <v>5271</v>
      </c>
      <c r="B6231" t="s">
        <v>1</v>
      </c>
    </row>
    <row r="6232" spans="1:2" x14ac:dyDescent="0.3">
      <c r="A6232" t="s">
        <v>5272</v>
      </c>
      <c r="B6232" t="s">
        <v>1</v>
      </c>
    </row>
    <row r="6233" spans="1:2" x14ac:dyDescent="0.3">
      <c r="A6233" t="s">
        <v>5273</v>
      </c>
      <c r="B6233" t="s">
        <v>1</v>
      </c>
    </row>
    <row r="6234" spans="1:2" x14ac:dyDescent="0.3">
      <c r="A6234" t="s">
        <v>5274</v>
      </c>
      <c r="B6234" t="s">
        <v>1</v>
      </c>
    </row>
    <row r="6235" spans="1:2" x14ac:dyDescent="0.3">
      <c r="A6235" t="s">
        <v>5275</v>
      </c>
      <c r="B6235" t="s">
        <v>1</v>
      </c>
    </row>
    <row r="6236" spans="1:2" x14ac:dyDescent="0.3">
      <c r="B6236" t="s">
        <v>263</v>
      </c>
    </row>
    <row r="6237" spans="1:2" x14ac:dyDescent="0.3">
      <c r="A6237" t="s">
        <v>5276</v>
      </c>
      <c r="B6237" t="s">
        <v>1</v>
      </c>
    </row>
    <row r="6238" spans="1:2" x14ac:dyDescent="0.3">
      <c r="B6238" t="s">
        <v>1</v>
      </c>
    </row>
    <row r="6239" spans="1:2" x14ac:dyDescent="0.3">
      <c r="B6239" t="s">
        <v>1</v>
      </c>
    </row>
    <row r="6240" spans="1:2" x14ac:dyDescent="0.3">
      <c r="A6240" t="s">
        <v>5277</v>
      </c>
      <c r="B6240" t="s">
        <v>166</v>
      </c>
    </row>
    <row r="6241" spans="1:2" x14ac:dyDescent="0.3">
      <c r="A6241" t="s">
        <v>5278</v>
      </c>
      <c r="B6241" t="s">
        <v>166</v>
      </c>
    </row>
    <row r="6242" spans="1:2" x14ac:dyDescent="0.3">
      <c r="B6242" t="s">
        <v>97</v>
      </c>
    </row>
    <row r="6243" spans="1:2" x14ac:dyDescent="0.3">
      <c r="B6243" t="s">
        <v>97</v>
      </c>
    </row>
    <row r="6244" spans="1:2" x14ac:dyDescent="0.3">
      <c r="A6244" t="s">
        <v>5279</v>
      </c>
      <c r="B6244" t="s">
        <v>199</v>
      </c>
    </row>
    <row r="6245" spans="1:2" x14ac:dyDescent="0.3">
      <c r="A6245" t="s">
        <v>5280</v>
      </c>
      <c r="B6245" t="s">
        <v>1</v>
      </c>
    </row>
    <row r="6246" spans="1:2" x14ac:dyDescent="0.3">
      <c r="A6246" t="s">
        <v>5281</v>
      </c>
      <c r="B6246" t="s">
        <v>1</v>
      </c>
    </row>
    <row r="6247" spans="1:2" x14ac:dyDescent="0.3">
      <c r="A6247" t="s">
        <v>5282</v>
      </c>
      <c r="B6247" t="s">
        <v>182</v>
      </c>
    </row>
    <row r="6248" spans="1:2" x14ac:dyDescent="0.3">
      <c r="A6248" t="s">
        <v>5283</v>
      </c>
      <c r="B6248" t="s">
        <v>182</v>
      </c>
    </row>
    <row r="6249" spans="1:2" x14ac:dyDescent="0.3">
      <c r="A6249" t="s">
        <v>5284</v>
      </c>
      <c r="B6249" t="s">
        <v>182</v>
      </c>
    </row>
    <row r="6250" spans="1:2" x14ac:dyDescent="0.3">
      <c r="A6250" t="s">
        <v>5285</v>
      </c>
      <c r="B6250" t="s">
        <v>896</v>
      </c>
    </row>
    <row r="6251" spans="1:2" x14ac:dyDescent="0.3">
      <c r="A6251" t="s">
        <v>5286</v>
      </c>
      <c r="B6251" t="s">
        <v>182</v>
      </c>
    </row>
    <row r="6252" spans="1:2" x14ac:dyDescent="0.3">
      <c r="A6252" t="s">
        <v>5287</v>
      </c>
      <c r="B6252" t="s">
        <v>2</v>
      </c>
    </row>
    <row r="6253" spans="1:2" x14ac:dyDescent="0.3">
      <c r="A6253" t="s">
        <v>5288</v>
      </c>
      <c r="B6253" t="s">
        <v>2</v>
      </c>
    </row>
    <row r="6254" spans="1:2" x14ac:dyDescent="0.3">
      <c r="A6254" t="s">
        <v>5289</v>
      </c>
      <c r="B6254" t="s">
        <v>2</v>
      </c>
    </row>
    <row r="6255" spans="1:2" x14ac:dyDescent="0.3">
      <c r="B6255" t="s">
        <v>195</v>
      </c>
    </row>
    <row r="6256" spans="1:2" x14ac:dyDescent="0.3">
      <c r="B6256" t="s">
        <v>1779</v>
      </c>
    </row>
    <row r="6257" spans="1:2" x14ac:dyDescent="0.3">
      <c r="B6257" t="s">
        <v>1779</v>
      </c>
    </row>
    <row r="6258" spans="1:2" x14ac:dyDescent="0.3">
      <c r="B6258" t="s">
        <v>1779</v>
      </c>
    </row>
    <row r="6259" spans="1:2" x14ac:dyDescent="0.3">
      <c r="A6259" t="s">
        <v>5290</v>
      </c>
      <c r="B6259" t="s">
        <v>1</v>
      </c>
    </row>
    <row r="6260" spans="1:2" x14ac:dyDescent="0.3">
      <c r="B6260" t="s">
        <v>263</v>
      </c>
    </row>
    <row r="6261" spans="1:2" x14ac:dyDescent="0.3">
      <c r="A6261" t="s">
        <v>5291</v>
      </c>
      <c r="B6261" t="s">
        <v>179</v>
      </c>
    </row>
    <row r="6262" spans="1:2" x14ac:dyDescent="0.3">
      <c r="B6262" t="s">
        <v>888</v>
      </c>
    </row>
    <row r="6263" spans="1:2" x14ac:dyDescent="0.3">
      <c r="B6263" t="s">
        <v>176</v>
      </c>
    </row>
    <row r="6264" spans="1:2" x14ac:dyDescent="0.3">
      <c r="B6264" t="s">
        <v>176</v>
      </c>
    </row>
    <row r="6265" spans="1:2" x14ac:dyDescent="0.3">
      <c r="A6265" t="s">
        <v>5292</v>
      </c>
      <c r="B6265" t="s">
        <v>102</v>
      </c>
    </row>
    <row r="6266" spans="1:2" x14ac:dyDescent="0.3">
      <c r="A6266" t="s">
        <v>5293</v>
      </c>
      <c r="B6266" t="s">
        <v>1</v>
      </c>
    </row>
    <row r="6267" spans="1:2" x14ac:dyDescent="0.3">
      <c r="B6267" t="s">
        <v>1</v>
      </c>
    </row>
    <row r="6268" spans="1:2" x14ac:dyDescent="0.3">
      <c r="A6268" t="s">
        <v>5294</v>
      </c>
      <c r="B6268" t="s">
        <v>1</v>
      </c>
    </row>
    <row r="6269" spans="1:2" x14ac:dyDescent="0.3">
      <c r="A6269" t="s">
        <v>5295</v>
      </c>
      <c r="B6269" t="s">
        <v>1</v>
      </c>
    </row>
    <row r="6270" spans="1:2" x14ac:dyDescent="0.3">
      <c r="B6270" t="s">
        <v>1</v>
      </c>
    </row>
    <row r="6271" spans="1:2" x14ac:dyDescent="0.3">
      <c r="A6271" t="s">
        <v>5296</v>
      </c>
      <c r="B6271" t="s">
        <v>2149</v>
      </c>
    </row>
    <row r="6272" spans="1:2" x14ac:dyDescent="0.3">
      <c r="A6272" t="s">
        <v>989</v>
      </c>
      <c r="B6272" t="s">
        <v>97</v>
      </c>
    </row>
    <row r="6273" spans="1:2" x14ac:dyDescent="0.3">
      <c r="A6273" t="s">
        <v>5297</v>
      </c>
      <c r="B6273" t="s">
        <v>102</v>
      </c>
    </row>
    <row r="6274" spans="1:2" x14ac:dyDescent="0.3">
      <c r="A6274" t="s">
        <v>5298</v>
      </c>
      <c r="B6274" t="s">
        <v>1059</v>
      </c>
    </row>
    <row r="6275" spans="1:2" x14ac:dyDescent="0.3">
      <c r="B6275" t="s">
        <v>189</v>
      </c>
    </row>
    <row r="6276" spans="1:2" x14ac:dyDescent="0.3">
      <c r="A6276" t="s">
        <v>5299</v>
      </c>
      <c r="B6276" t="s">
        <v>896</v>
      </c>
    </row>
    <row r="6277" spans="1:2" x14ac:dyDescent="0.3">
      <c r="A6277" t="s">
        <v>5300</v>
      </c>
      <c r="B6277" t="s">
        <v>896</v>
      </c>
    </row>
    <row r="6278" spans="1:2" x14ac:dyDescent="0.3">
      <c r="A6278" t="s">
        <v>5301</v>
      </c>
      <c r="B6278" t="s">
        <v>1</v>
      </c>
    </row>
    <row r="6279" spans="1:2" x14ac:dyDescent="0.3">
      <c r="A6279" t="s">
        <v>5302</v>
      </c>
      <c r="B6279" t="s">
        <v>2</v>
      </c>
    </row>
    <row r="6280" spans="1:2" x14ac:dyDescent="0.3">
      <c r="A6280" t="s">
        <v>5303</v>
      </c>
      <c r="B6280" t="s">
        <v>171</v>
      </c>
    </row>
    <row r="6281" spans="1:2" x14ac:dyDescent="0.3">
      <c r="B6281" t="s">
        <v>1</v>
      </c>
    </row>
    <row r="6282" spans="1:2" x14ac:dyDescent="0.3">
      <c r="B6282" t="s">
        <v>1</v>
      </c>
    </row>
    <row r="6283" spans="1:2" x14ac:dyDescent="0.3">
      <c r="A6283" t="s">
        <v>5304</v>
      </c>
      <c r="B6283" t="s">
        <v>72</v>
      </c>
    </row>
    <row r="6284" spans="1:2" x14ac:dyDescent="0.3">
      <c r="A6284" t="s">
        <v>5297</v>
      </c>
      <c r="B6284" t="s">
        <v>102</v>
      </c>
    </row>
    <row r="6285" spans="1:2" x14ac:dyDescent="0.3">
      <c r="A6285" t="s">
        <v>5305</v>
      </c>
      <c r="B6285" t="s">
        <v>1</v>
      </c>
    </row>
    <row r="6286" spans="1:2" x14ac:dyDescent="0.3">
      <c r="B6286" t="s">
        <v>166</v>
      </c>
    </row>
    <row r="6287" spans="1:2" x14ac:dyDescent="0.3">
      <c r="B6287" t="s">
        <v>166</v>
      </c>
    </row>
    <row r="6288" spans="1:2" x14ac:dyDescent="0.3">
      <c r="A6288" t="s">
        <v>5306</v>
      </c>
      <c r="B6288" t="s">
        <v>1</v>
      </c>
    </row>
    <row r="6289" spans="1:2" x14ac:dyDescent="0.3">
      <c r="A6289" t="s">
        <v>5307</v>
      </c>
      <c r="B6289" t="s">
        <v>1</v>
      </c>
    </row>
    <row r="6290" spans="1:2" x14ac:dyDescent="0.3">
      <c r="B6290" t="s">
        <v>186</v>
      </c>
    </row>
    <row r="6291" spans="1:2" x14ac:dyDescent="0.3">
      <c r="A6291" t="s">
        <v>5308</v>
      </c>
      <c r="B6291" t="s">
        <v>97</v>
      </c>
    </row>
    <row r="6292" spans="1:2" x14ac:dyDescent="0.3">
      <c r="A6292" t="s">
        <v>5309</v>
      </c>
      <c r="B6292" t="s">
        <v>1</v>
      </c>
    </row>
    <row r="6293" spans="1:2" x14ac:dyDescent="0.3">
      <c r="A6293" t="s">
        <v>5310</v>
      </c>
      <c r="B6293" t="s">
        <v>1</v>
      </c>
    </row>
    <row r="6294" spans="1:2" x14ac:dyDescent="0.3">
      <c r="A6294" t="s">
        <v>5311</v>
      </c>
      <c r="B6294" t="s">
        <v>201</v>
      </c>
    </row>
    <row r="6295" spans="1:2" x14ac:dyDescent="0.3">
      <c r="B6295" t="s">
        <v>1426</v>
      </c>
    </row>
    <row r="6296" spans="1:2" x14ac:dyDescent="0.3">
      <c r="A6296" t="s">
        <v>5312</v>
      </c>
      <c r="B6296" t="s">
        <v>1</v>
      </c>
    </row>
    <row r="6297" spans="1:2" x14ac:dyDescent="0.3">
      <c r="A6297" t="s">
        <v>5313</v>
      </c>
      <c r="B6297" t="s">
        <v>1</v>
      </c>
    </row>
    <row r="6298" spans="1:2" x14ac:dyDescent="0.3">
      <c r="B6298" t="s">
        <v>97</v>
      </c>
    </row>
    <row r="6299" spans="1:2" x14ac:dyDescent="0.3">
      <c r="B6299" t="s">
        <v>165</v>
      </c>
    </row>
    <row r="6300" spans="1:2" x14ac:dyDescent="0.3">
      <c r="B6300" t="s">
        <v>618</v>
      </c>
    </row>
    <row r="6301" spans="1:2" x14ac:dyDescent="0.3">
      <c r="A6301" t="s">
        <v>5314</v>
      </c>
      <c r="B6301" t="s">
        <v>251</v>
      </c>
    </row>
    <row r="6302" spans="1:2" x14ac:dyDescent="0.3">
      <c r="B6302" t="s">
        <v>72</v>
      </c>
    </row>
    <row r="6303" spans="1:2" x14ac:dyDescent="0.3">
      <c r="B6303" t="s">
        <v>1</v>
      </c>
    </row>
    <row r="6304" spans="1:2" x14ac:dyDescent="0.3">
      <c r="B6304" t="s">
        <v>102</v>
      </c>
    </row>
    <row r="6305" spans="1:2" x14ac:dyDescent="0.3">
      <c r="A6305" t="s">
        <v>5315</v>
      </c>
      <c r="B6305" t="s">
        <v>1</v>
      </c>
    </row>
    <row r="6306" spans="1:2" x14ac:dyDescent="0.3">
      <c r="B6306" t="s">
        <v>102</v>
      </c>
    </row>
    <row r="6307" spans="1:2" x14ac:dyDescent="0.3">
      <c r="B6307" t="s">
        <v>181</v>
      </c>
    </row>
    <row r="6308" spans="1:2" x14ac:dyDescent="0.3">
      <c r="A6308" t="s">
        <v>5316</v>
      </c>
      <c r="B6308" t="s">
        <v>1</v>
      </c>
    </row>
    <row r="6309" spans="1:2" x14ac:dyDescent="0.3">
      <c r="B6309" t="s">
        <v>1426</v>
      </c>
    </row>
    <row r="6310" spans="1:2" x14ac:dyDescent="0.3">
      <c r="B6310" t="s">
        <v>1426</v>
      </c>
    </row>
    <row r="6311" spans="1:2" x14ac:dyDescent="0.3">
      <c r="B6311" t="s">
        <v>175</v>
      </c>
    </row>
    <row r="6312" spans="1:2" x14ac:dyDescent="0.3">
      <c r="B6312" t="s">
        <v>74</v>
      </c>
    </row>
    <row r="6313" spans="1:2" x14ac:dyDescent="0.3">
      <c r="B6313" t="s">
        <v>1107</v>
      </c>
    </row>
    <row r="6314" spans="1:2" x14ac:dyDescent="0.3">
      <c r="B6314" t="s">
        <v>166</v>
      </c>
    </row>
    <row r="6315" spans="1:2" x14ac:dyDescent="0.3">
      <c r="B6315" t="s">
        <v>165</v>
      </c>
    </row>
    <row r="6316" spans="1:2" x14ac:dyDescent="0.3">
      <c r="B6316" t="s">
        <v>181</v>
      </c>
    </row>
    <row r="6317" spans="1:2" x14ac:dyDescent="0.3">
      <c r="B6317" t="s">
        <v>261</v>
      </c>
    </row>
    <row r="6318" spans="1:2" x14ac:dyDescent="0.3">
      <c r="B6318" t="s">
        <v>181</v>
      </c>
    </row>
    <row r="6319" spans="1:2" x14ac:dyDescent="0.3">
      <c r="B6319" t="s">
        <v>181</v>
      </c>
    </row>
    <row r="6320" spans="1:2" x14ac:dyDescent="0.3">
      <c r="B6320" t="s">
        <v>190</v>
      </c>
    </row>
    <row r="6321" spans="2:2" x14ac:dyDescent="0.3">
      <c r="B6321" t="s">
        <v>181</v>
      </c>
    </row>
    <row r="6322" spans="2:2" x14ac:dyDescent="0.3">
      <c r="B6322" t="s">
        <v>190</v>
      </c>
    </row>
    <row r="6323" spans="2:2" x14ac:dyDescent="0.3">
      <c r="B6323" t="s">
        <v>181</v>
      </c>
    </row>
    <row r="6324" spans="2:2" x14ac:dyDescent="0.3">
      <c r="B6324" t="s">
        <v>1</v>
      </c>
    </row>
    <row r="6325" spans="2:2" x14ac:dyDescent="0.3">
      <c r="B6325" t="s">
        <v>97</v>
      </c>
    </row>
    <row r="6326" spans="2:2" x14ac:dyDescent="0.3">
      <c r="B6326" t="s">
        <v>1</v>
      </c>
    </row>
    <row r="6327" spans="2:2" x14ac:dyDescent="0.3">
      <c r="B6327" t="s">
        <v>260</v>
      </c>
    </row>
    <row r="6328" spans="2:2" x14ac:dyDescent="0.3">
      <c r="B6328" t="s">
        <v>190</v>
      </c>
    </row>
    <row r="6329" spans="2:2" x14ac:dyDescent="0.3">
      <c r="B6329" t="s">
        <v>181</v>
      </c>
    </row>
    <row r="6330" spans="2:2" x14ac:dyDescent="0.3">
      <c r="B6330" t="s">
        <v>2</v>
      </c>
    </row>
    <row r="6331" spans="2:2" x14ac:dyDescent="0.3">
      <c r="B6331" t="s">
        <v>1</v>
      </c>
    </row>
    <row r="6332" spans="2:2" x14ac:dyDescent="0.3">
      <c r="B6332" t="s">
        <v>1</v>
      </c>
    </row>
    <row r="6333" spans="2:2" x14ac:dyDescent="0.3">
      <c r="B6333" t="s">
        <v>1</v>
      </c>
    </row>
    <row r="6334" spans="2:2" x14ac:dyDescent="0.3">
      <c r="B6334" t="s">
        <v>1</v>
      </c>
    </row>
    <row r="6335" spans="2:2" x14ac:dyDescent="0.3">
      <c r="B6335" t="s">
        <v>1</v>
      </c>
    </row>
    <row r="6336" spans="2:2" x14ac:dyDescent="0.3">
      <c r="B6336" t="s">
        <v>1</v>
      </c>
    </row>
    <row r="6337" spans="1:2" x14ac:dyDescent="0.3">
      <c r="B6337" t="s">
        <v>139</v>
      </c>
    </row>
    <row r="6338" spans="1:2" x14ac:dyDescent="0.3">
      <c r="B6338" t="s">
        <v>172</v>
      </c>
    </row>
    <row r="6339" spans="1:2" x14ac:dyDescent="0.3">
      <c r="B6339" t="s">
        <v>172</v>
      </c>
    </row>
    <row r="6340" spans="1:2" x14ac:dyDescent="0.3">
      <c r="B6340" t="s">
        <v>172</v>
      </c>
    </row>
    <row r="6341" spans="1:2" x14ac:dyDescent="0.3">
      <c r="B6341" t="s">
        <v>1</v>
      </c>
    </row>
    <row r="6342" spans="1:2" x14ac:dyDescent="0.3">
      <c r="A6342" t="s">
        <v>5317</v>
      </c>
      <c r="B6342" t="s">
        <v>1743</v>
      </c>
    </row>
    <row r="6343" spans="1:2" x14ac:dyDescent="0.3">
      <c r="A6343" t="s">
        <v>5318</v>
      </c>
      <c r="B6343" t="s">
        <v>1</v>
      </c>
    </row>
    <row r="6344" spans="1:2" x14ac:dyDescent="0.3">
      <c r="B6344" t="s">
        <v>166</v>
      </c>
    </row>
    <row r="6345" spans="1:2" x14ac:dyDescent="0.3">
      <c r="A6345" t="s">
        <v>5319</v>
      </c>
      <c r="B6345" t="s">
        <v>1</v>
      </c>
    </row>
    <row r="6346" spans="1:2" x14ac:dyDescent="0.3">
      <c r="B6346" t="s">
        <v>1</v>
      </c>
    </row>
    <row r="6347" spans="1:2" x14ac:dyDescent="0.3">
      <c r="B6347" t="s">
        <v>1</v>
      </c>
    </row>
    <row r="6348" spans="1:2" x14ac:dyDescent="0.3">
      <c r="A6348" t="s">
        <v>5320</v>
      </c>
      <c r="B6348" t="s">
        <v>165</v>
      </c>
    </row>
    <row r="6349" spans="1:2" x14ac:dyDescent="0.3">
      <c r="B6349" t="s">
        <v>97</v>
      </c>
    </row>
    <row r="6350" spans="1:2" x14ac:dyDescent="0.3">
      <c r="A6350" t="s">
        <v>5321</v>
      </c>
      <c r="B6350" t="s">
        <v>910</v>
      </c>
    </row>
    <row r="6351" spans="1:2" x14ac:dyDescent="0.3">
      <c r="A6351" t="s">
        <v>5322</v>
      </c>
      <c r="B6351" t="s">
        <v>1</v>
      </c>
    </row>
    <row r="6352" spans="1:2" x14ac:dyDescent="0.3">
      <c r="A6352" t="s">
        <v>5323</v>
      </c>
      <c r="B6352" t="s">
        <v>1</v>
      </c>
    </row>
    <row r="6353" spans="1:2" x14ac:dyDescent="0.3">
      <c r="A6353" t="s">
        <v>5324</v>
      </c>
      <c r="B6353" t="s">
        <v>1</v>
      </c>
    </row>
    <row r="6354" spans="1:2" x14ac:dyDescent="0.3">
      <c r="A6354" t="s">
        <v>5325</v>
      </c>
      <c r="B6354" t="s">
        <v>1</v>
      </c>
    </row>
    <row r="6355" spans="1:2" x14ac:dyDescent="0.3">
      <c r="B6355" t="s">
        <v>172</v>
      </c>
    </row>
    <row r="6356" spans="1:2" x14ac:dyDescent="0.3">
      <c r="B6356" t="s">
        <v>166</v>
      </c>
    </row>
    <row r="6357" spans="1:2" x14ac:dyDescent="0.3">
      <c r="B6357" t="s">
        <v>172</v>
      </c>
    </row>
    <row r="6358" spans="1:2" x14ac:dyDescent="0.3">
      <c r="B6358" t="s">
        <v>2278</v>
      </c>
    </row>
    <row r="6359" spans="1:2" x14ac:dyDescent="0.3">
      <c r="A6359" t="s">
        <v>5326</v>
      </c>
      <c r="B6359" t="s">
        <v>171</v>
      </c>
    </row>
    <row r="6360" spans="1:2" x14ac:dyDescent="0.3">
      <c r="B6360" t="s">
        <v>1680</v>
      </c>
    </row>
    <row r="6361" spans="1:2" x14ac:dyDescent="0.3">
      <c r="A6361" t="s">
        <v>5327</v>
      </c>
      <c r="B6361" t="s">
        <v>72</v>
      </c>
    </row>
    <row r="6362" spans="1:2" x14ac:dyDescent="0.3">
      <c r="A6362" t="s">
        <v>5328</v>
      </c>
      <c r="B6362" t="s">
        <v>72</v>
      </c>
    </row>
    <row r="6363" spans="1:2" x14ac:dyDescent="0.3">
      <c r="A6363" t="s">
        <v>5329</v>
      </c>
      <c r="B6363" t="s">
        <v>72</v>
      </c>
    </row>
    <row r="6364" spans="1:2" x14ac:dyDescent="0.3">
      <c r="A6364" t="s">
        <v>5330</v>
      </c>
      <c r="B6364" t="s">
        <v>72</v>
      </c>
    </row>
    <row r="6365" spans="1:2" x14ac:dyDescent="0.3">
      <c r="A6365" t="s">
        <v>5331</v>
      </c>
      <c r="B6365" t="s">
        <v>72</v>
      </c>
    </row>
    <row r="6366" spans="1:2" x14ac:dyDescent="0.3">
      <c r="A6366" t="s">
        <v>5332</v>
      </c>
      <c r="B6366" t="s">
        <v>72</v>
      </c>
    </row>
    <row r="6367" spans="1:2" x14ac:dyDescent="0.3">
      <c r="A6367" t="s">
        <v>5333</v>
      </c>
      <c r="B6367" t="s">
        <v>72</v>
      </c>
    </row>
    <row r="6368" spans="1:2" x14ac:dyDescent="0.3">
      <c r="A6368" t="s">
        <v>5334</v>
      </c>
      <c r="B6368" t="s">
        <v>72</v>
      </c>
    </row>
    <row r="6369" spans="1:2" x14ac:dyDescent="0.3">
      <c r="A6369" t="s">
        <v>5335</v>
      </c>
      <c r="B6369" t="s">
        <v>72</v>
      </c>
    </row>
    <row r="6370" spans="1:2" x14ac:dyDescent="0.3">
      <c r="A6370" t="s">
        <v>5336</v>
      </c>
      <c r="B6370" t="s">
        <v>285</v>
      </c>
    </row>
    <row r="6371" spans="1:2" x14ac:dyDescent="0.3">
      <c r="A6371" t="s">
        <v>5337</v>
      </c>
      <c r="B6371" t="s">
        <v>285</v>
      </c>
    </row>
    <row r="6372" spans="1:2" x14ac:dyDescent="0.3">
      <c r="A6372" t="s">
        <v>5338</v>
      </c>
      <c r="B6372" t="s">
        <v>285</v>
      </c>
    </row>
    <row r="6373" spans="1:2" x14ac:dyDescent="0.3">
      <c r="B6373" t="s">
        <v>888</v>
      </c>
    </row>
    <row r="6374" spans="1:2" x14ac:dyDescent="0.3">
      <c r="B6374" t="s">
        <v>3338</v>
      </c>
    </row>
    <row r="6375" spans="1:2" x14ac:dyDescent="0.3">
      <c r="A6375" t="s">
        <v>5339</v>
      </c>
      <c r="B6375" t="s">
        <v>72</v>
      </c>
    </row>
    <row r="6376" spans="1:2" x14ac:dyDescent="0.3">
      <c r="A6376" t="s">
        <v>5340</v>
      </c>
      <c r="B6376" t="s">
        <v>72</v>
      </c>
    </row>
    <row r="6377" spans="1:2" x14ac:dyDescent="0.3">
      <c r="A6377" t="s">
        <v>5341</v>
      </c>
      <c r="B6377" t="s">
        <v>72</v>
      </c>
    </row>
    <row r="6378" spans="1:2" x14ac:dyDescent="0.3">
      <c r="A6378" t="s">
        <v>5342</v>
      </c>
      <c r="B6378" t="s">
        <v>72</v>
      </c>
    </row>
    <row r="6379" spans="1:2" x14ac:dyDescent="0.3">
      <c r="A6379" t="s">
        <v>5343</v>
      </c>
      <c r="B6379" t="s">
        <v>72</v>
      </c>
    </row>
    <row r="6380" spans="1:2" x14ac:dyDescent="0.3">
      <c r="B6380" t="s">
        <v>72</v>
      </c>
    </row>
    <row r="6381" spans="1:2" x14ac:dyDescent="0.3">
      <c r="B6381" t="s">
        <v>97</v>
      </c>
    </row>
    <row r="6382" spans="1:2" x14ac:dyDescent="0.3">
      <c r="A6382" t="s">
        <v>5344</v>
      </c>
      <c r="B6382" t="s">
        <v>97</v>
      </c>
    </row>
    <row r="6383" spans="1:2" x14ac:dyDescent="0.3">
      <c r="B6383" t="s">
        <v>172</v>
      </c>
    </row>
    <row r="6384" spans="1:2" x14ac:dyDescent="0.3">
      <c r="B6384" t="s">
        <v>179</v>
      </c>
    </row>
    <row r="6385" spans="1:2" x14ac:dyDescent="0.3">
      <c r="A6385" t="s">
        <v>5345</v>
      </c>
      <c r="B6385" t="s">
        <v>72</v>
      </c>
    </row>
    <row r="6386" spans="1:2" x14ac:dyDescent="0.3">
      <c r="A6386" t="s">
        <v>5346</v>
      </c>
      <c r="B6386" t="s">
        <v>1</v>
      </c>
    </row>
    <row r="6387" spans="1:2" x14ac:dyDescent="0.3">
      <c r="A6387" t="s">
        <v>5347</v>
      </c>
      <c r="B6387" t="s">
        <v>200</v>
      </c>
    </row>
    <row r="6388" spans="1:2" x14ac:dyDescent="0.3">
      <c r="B6388" t="s">
        <v>171</v>
      </c>
    </row>
    <row r="6389" spans="1:2" x14ac:dyDescent="0.3">
      <c r="A6389" t="s">
        <v>5348</v>
      </c>
      <c r="B6389" t="s">
        <v>179</v>
      </c>
    </row>
    <row r="6390" spans="1:2" x14ac:dyDescent="0.3">
      <c r="B6390" t="s">
        <v>179</v>
      </c>
    </row>
    <row r="6391" spans="1:2" x14ac:dyDescent="0.3">
      <c r="B6391" t="s">
        <v>179</v>
      </c>
    </row>
    <row r="6392" spans="1:2" x14ac:dyDescent="0.3">
      <c r="B6392" t="s">
        <v>179</v>
      </c>
    </row>
    <row r="6393" spans="1:2" x14ac:dyDescent="0.3">
      <c r="B6393" t="s">
        <v>179</v>
      </c>
    </row>
    <row r="6394" spans="1:2" x14ac:dyDescent="0.3">
      <c r="A6394" t="s">
        <v>5349</v>
      </c>
      <c r="B6394" t="s">
        <v>1</v>
      </c>
    </row>
    <row r="6395" spans="1:2" x14ac:dyDescent="0.3">
      <c r="B6395" t="s">
        <v>191</v>
      </c>
    </row>
    <row r="6396" spans="1:2" x14ac:dyDescent="0.3">
      <c r="B6396" t="s">
        <v>175</v>
      </c>
    </row>
    <row r="6397" spans="1:2" x14ac:dyDescent="0.3">
      <c r="B6397" t="s">
        <v>172</v>
      </c>
    </row>
    <row r="6398" spans="1:2" x14ac:dyDescent="0.3">
      <c r="A6398" t="s">
        <v>5350</v>
      </c>
      <c r="B6398" t="s">
        <v>103</v>
      </c>
    </row>
    <row r="6399" spans="1:2" x14ac:dyDescent="0.3">
      <c r="A6399" t="s">
        <v>5351</v>
      </c>
      <c r="B6399" t="s">
        <v>1</v>
      </c>
    </row>
    <row r="6400" spans="1:2" x14ac:dyDescent="0.3">
      <c r="B6400" t="s">
        <v>1</v>
      </c>
    </row>
    <row r="6401" spans="1:2" x14ac:dyDescent="0.3">
      <c r="B6401" t="s">
        <v>1</v>
      </c>
    </row>
    <row r="6402" spans="1:2" x14ac:dyDescent="0.3">
      <c r="B6402" t="s">
        <v>1</v>
      </c>
    </row>
    <row r="6403" spans="1:2" x14ac:dyDescent="0.3">
      <c r="A6403" t="s">
        <v>1059</v>
      </c>
      <c r="B6403" t="s">
        <v>1</v>
      </c>
    </row>
    <row r="6404" spans="1:2" x14ac:dyDescent="0.3">
      <c r="A6404" t="s">
        <v>5352</v>
      </c>
      <c r="B6404" t="s">
        <v>1</v>
      </c>
    </row>
    <row r="6405" spans="1:2" x14ac:dyDescent="0.3">
      <c r="B6405" t="s">
        <v>2328</v>
      </c>
    </row>
    <row r="6406" spans="1:2" x14ac:dyDescent="0.3">
      <c r="B6406" t="s">
        <v>1107</v>
      </c>
    </row>
    <row r="6407" spans="1:2" x14ac:dyDescent="0.3">
      <c r="A6407" t="s">
        <v>5353</v>
      </c>
      <c r="B6407" t="s">
        <v>921</v>
      </c>
    </row>
    <row r="6408" spans="1:2" x14ac:dyDescent="0.3">
      <c r="A6408" t="s">
        <v>5354</v>
      </c>
      <c r="B6408" t="s">
        <v>72</v>
      </c>
    </row>
    <row r="6409" spans="1:2" x14ac:dyDescent="0.3">
      <c r="A6409" t="s">
        <v>5355</v>
      </c>
      <c r="B6409" t="s">
        <v>191</v>
      </c>
    </row>
    <row r="6410" spans="1:2" x14ac:dyDescent="0.3">
      <c r="A6410" t="s">
        <v>5356</v>
      </c>
      <c r="B6410" t="s">
        <v>102</v>
      </c>
    </row>
    <row r="6411" spans="1:2" x14ac:dyDescent="0.3">
      <c r="B6411" t="s">
        <v>102</v>
      </c>
    </row>
    <row r="6412" spans="1:2" x14ac:dyDescent="0.3">
      <c r="B6412" t="s">
        <v>102</v>
      </c>
    </row>
    <row r="6413" spans="1:2" x14ac:dyDescent="0.3">
      <c r="B6413" t="s">
        <v>102</v>
      </c>
    </row>
    <row r="6414" spans="1:2" x14ac:dyDescent="0.3">
      <c r="B6414" t="s">
        <v>102</v>
      </c>
    </row>
    <row r="6415" spans="1:2" x14ac:dyDescent="0.3">
      <c r="B6415" t="s">
        <v>2</v>
      </c>
    </row>
    <row r="6416" spans="1:2" x14ac:dyDescent="0.3">
      <c r="A6416" t="s">
        <v>5357</v>
      </c>
      <c r="B6416" t="s">
        <v>1</v>
      </c>
    </row>
    <row r="6417" spans="1:2" x14ac:dyDescent="0.3">
      <c r="A6417" t="s">
        <v>5358</v>
      </c>
      <c r="B6417" t="s">
        <v>1</v>
      </c>
    </row>
    <row r="6418" spans="1:2" x14ac:dyDescent="0.3">
      <c r="B6418" t="s">
        <v>1021</v>
      </c>
    </row>
    <row r="6419" spans="1:2" x14ac:dyDescent="0.3">
      <c r="A6419" t="s">
        <v>5359</v>
      </c>
      <c r="B6419" t="s">
        <v>97</v>
      </c>
    </row>
    <row r="6420" spans="1:2" x14ac:dyDescent="0.3">
      <c r="B6420" t="s">
        <v>171</v>
      </c>
    </row>
    <row r="6421" spans="1:2" x14ac:dyDescent="0.3">
      <c r="B6421" t="s">
        <v>172</v>
      </c>
    </row>
    <row r="6422" spans="1:2" x14ac:dyDescent="0.3">
      <c r="B6422" t="s">
        <v>172</v>
      </c>
    </row>
    <row r="6423" spans="1:2" x14ac:dyDescent="0.3">
      <c r="A6423" t="s">
        <v>5360</v>
      </c>
      <c r="B6423" t="s">
        <v>1</v>
      </c>
    </row>
    <row r="6424" spans="1:2" x14ac:dyDescent="0.3">
      <c r="A6424" t="s">
        <v>5361</v>
      </c>
      <c r="B6424" t="s">
        <v>1</v>
      </c>
    </row>
    <row r="6425" spans="1:2" x14ac:dyDescent="0.3">
      <c r="A6425" t="s">
        <v>5362</v>
      </c>
      <c r="B6425" t="s">
        <v>1</v>
      </c>
    </row>
    <row r="6426" spans="1:2" x14ac:dyDescent="0.3">
      <c r="A6426" t="s">
        <v>5363</v>
      </c>
      <c r="B6426" t="s">
        <v>1</v>
      </c>
    </row>
    <row r="6427" spans="1:2" x14ac:dyDescent="0.3">
      <c r="B6427" t="s">
        <v>1</v>
      </c>
    </row>
    <row r="6428" spans="1:2" x14ac:dyDescent="0.3">
      <c r="B6428" t="s">
        <v>1</v>
      </c>
    </row>
    <row r="6429" spans="1:2" x14ac:dyDescent="0.3">
      <c r="A6429" t="s">
        <v>5364</v>
      </c>
      <c r="B6429" t="s">
        <v>166</v>
      </c>
    </row>
    <row r="6430" spans="1:2" x14ac:dyDescent="0.3">
      <c r="A6430" t="s">
        <v>5365</v>
      </c>
      <c r="B6430" t="s">
        <v>74</v>
      </c>
    </row>
    <row r="6431" spans="1:2" x14ac:dyDescent="0.3">
      <c r="A6431" t="s">
        <v>5366</v>
      </c>
      <c r="B6431" t="s">
        <v>2353</v>
      </c>
    </row>
    <row r="6432" spans="1:2" x14ac:dyDescent="0.3">
      <c r="B6432" t="s">
        <v>72</v>
      </c>
    </row>
    <row r="6433" spans="1:2" x14ac:dyDescent="0.3">
      <c r="A6433" t="s">
        <v>5367</v>
      </c>
      <c r="B6433" t="s">
        <v>164</v>
      </c>
    </row>
    <row r="6434" spans="1:2" x14ac:dyDescent="0.3">
      <c r="A6434" t="s">
        <v>5368</v>
      </c>
      <c r="B6434" t="s">
        <v>1</v>
      </c>
    </row>
    <row r="6435" spans="1:2" x14ac:dyDescent="0.3">
      <c r="A6435" t="s">
        <v>5369</v>
      </c>
      <c r="B6435" t="s">
        <v>72</v>
      </c>
    </row>
    <row r="6436" spans="1:2" x14ac:dyDescent="0.3">
      <c r="A6436" t="s">
        <v>5370</v>
      </c>
      <c r="B6436" t="s">
        <v>1</v>
      </c>
    </row>
    <row r="6437" spans="1:2" x14ac:dyDescent="0.3">
      <c r="A6437" t="s">
        <v>5371</v>
      </c>
      <c r="B6437" t="s">
        <v>166</v>
      </c>
    </row>
    <row r="6438" spans="1:2" x14ac:dyDescent="0.3">
      <c r="A6438" t="s">
        <v>5372</v>
      </c>
      <c r="B6438" t="s">
        <v>176</v>
      </c>
    </row>
    <row r="6439" spans="1:2" x14ac:dyDescent="0.3">
      <c r="A6439" t="s">
        <v>5373</v>
      </c>
      <c r="B6439" t="s">
        <v>2353</v>
      </c>
    </row>
    <row r="6440" spans="1:2" x14ac:dyDescent="0.3">
      <c r="A6440" t="s">
        <v>5374</v>
      </c>
      <c r="B6440" t="s">
        <v>72</v>
      </c>
    </row>
    <row r="6441" spans="1:2" x14ac:dyDescent="0.3">
      <c r="A6441" t="s">
        <v>5375</v>
      </c>
      <c r="B6441" t="s">
        <v>260</v>
      </c>
    </row>
    <row r="6442" spans="1:2" x14ac:dyDescent="0.3">
      <c r="B6442" t="s">
        <v>245</v>
      </c>
    </row>
    <row r="6443" spans="1:2" x14ac:dyDescent="0.3">
      <c r="B6443" t="s">
        <v>102</v>
      </c>
    </row>
    <row r="6444" spans="1:2" x14ac:dyDescent="0.3">
      <c r="B6444" t="s">
        <v>1762</v>
      </c>
    </row>
    <row r="6445" spans="1:2" x14ac:dyDescent="0.3">
      <c r="A6445" t="s">
        <v>5376</v>
      </c>
      <c r="B6445" t="s">
        <v>1</v>
      </c>
    </row>
    <row r="6446" spans="1:2" x14ac:dyDescent="0.3">
      <c r="A6446" t="s">
        <v>5377</v>
      </c>
      <c r="B6446" t="s">
        <v>1</v>
      </c>
    </row>
    <row r="6447" spans="1:2" x14ac:dyDescent="0.3">
      <c r="A6447" t="s">
        <v>5378</v>
      </c>
      <c r="B6447" t="s">
        <v>759</v>
      </c>
    </row>
    <row r="6448" spans="1:2" x14ac:dyDescent="0.3">
      <c r="B6448" t="s">
        <v>759</v>
      </c>
    </row>
    <row r="6449" spans="1:2" x14ac:dyDescent="0.3">
      <c r="B6449" t="s">
        <v>759</v>
      </c>
    </row>
    <row r="6450" spans="1:2" x14ac:dyDescent="0.3">
      <c r="A6450" t="s">
        <v>5379</v>
      </c>
      <c r="B6450" t="s">
        <v>1</v>
      </c>
    </row>
    <row r="6451" spans="1:2" x14ac:dyDescent="0.3">
      <c r="A6451" t="s">
        <v>5380</v>
      </c>
      <c r="B6451" t="s">
        <v>1</v>
      </c>
    </row>
    <row r="6452" spans="1:2" x14ac:dyDescent="0.3">
      <c r="B6452" t="s">
        <v>263</v>
      </c>
    </row>
    <row r="6453" spans="1:2" x14ac:dyDescent="0.3">
      <c r="A6453" t="s">
        <v>5381</v>
      </c>
      <c r="B6453" t="s">
        <v>801</v>
      </c>
    </row>
    <row r="6454" spans="1:2" x14ac:dyDescent="0.3">
      <c r="A6454" t="s">
        <v>5382</v>
      </c>
      <c r="B6454" t="s">
        <v>801</v>
      </c>
    </row>
    <row r="6455" spans="1:2" x14ac:dyDescent="0.3">
      <c r="B6455" t="s">
        <v>171</v>
      </c>
    </row>
    <row r="6456" spans="1:2" x14ac:dyDescent="0.3">
      <c r="A6456" t="s">
        <v>5383</v>
      </c>
      <c r="B6456" t="s">
        <v>1</v>
      </c>
    </row>
    <row r="6457" spans="1:2" x14ac:dyDescent="0.3">
      <c r="B6457" t="s">
        <v>1</v>
      </c>
    </row>
    <row r="6458" spans="1:2" x14ac:dyDescent="0.3">
      <c r="B6458" t="s">
        <v>1107</v>
      </c>
    </row>
    <row r="6459" spans="1:2" x14ac:dyDescent="0.3">
      <c r="B6459" t="s">
        <v>251</v>
      </c>
    </row>
    <row r="6460" spans="1:2" x14ac:dyDescent="0.3">
      <c r="A6460" t="s">
        <v>5384</v>
      </c>
      <c r="B6460" t="s">
        <v>1</v>
      </c>
    </row>
    <row r="6461" spans="1:2" x14ac:dyDescent="0.3">
      <c r="A6461" t="s">
        <v>5385</v>
      </c>
      <c r="B6461" t="s">
        <v>1</v>
      </c>
    </row>
    <row r="6462" spans="1:2" x14ac:dyDescent="0.3">
      <c r="A6462" t="s">
        <v>5386</v>
      </c>
      <c r="B6462" t="s">
        <v>1</v>
      </c>
    </row>
    <row r="6463" spans="1:2" x14ac:dyDescent="0.3">
      <c r="A6463" t="s">
        <v>5387</v>
      </c>
      <c r="B6463" t="s">
        <v>1</v>
      </c>
    </row>
    <row r="6464" spans="1:2" x14ac:dyDescent="0.3">
      <c r="A6464" t="s">
        <v>5388</v>
      </c>
      <c r="B6464" t="s">
        <v>1</v>
      </c>
    </row>
    <row r="6465" spans="1:2" x14ac:dyDescent="0.3">
      <c r="A6465" t="s">
        <v>5389</v>
      </c>
      <c r="B6465" t="s">
        <v>1</v>
      </c>
    </row>
    <row r="6466" spans="1:2" x14ac:dyDescent="0.3">
      <c r="B6466" t="s">
        <v>1</v>
      </c>
    </row>
    <row r="6467" spans="1:2" x14ac:dyDescent="0.3">
      <c r="B6467" t="s">
        <v>1</v>
      </c>
    </row>
    <row r="6468" spans="1:2" x14ac:dyDescent="0.3">
      <c r="B6468" t="s">
        <v>2</v>
      </c>
    </row>
    <row r="6469" spans="1:2" x14ac:dyDescent="0.3">
      <c r="B6469" t="s">
        <v>72</v>
      </c>
    </row>
    <row r="6470" spans="1:2" x14ac:dyDescent="0.3">
      <c r="A6470" t="s">
        <v>5390</v>
      </c>
      <c r="B6470" t="s">
        <v>176</v>
      </c>
    </row>
    <row r="6471" spans="1:2" x14ac:dyDescent="0.3">
      <c r="A6471" t="s">
        <v>5391</v>
      </c>
      <c r="B6471" t="s">
        <v>258</v>
      </c>
    </row>
    <row r="6472" spans="1:2" x14ac:dyDescent="0.3">
      <c r="A6472" t="s">
        <v>5392</v>
      </c>
      <c r="B6472" t="s">
        <v>258</v>
      </c>
    </row>
    <row r="6473" spans="1:2" x14ac:dyDescent="0.3">
      <c r="A6473" t="s">
        <v>5393</v>
      </c>
      <c r="B6473" t="s">
        <v>258</v>
      </c>
    </row>
    <row r="6474" spans="1:2" x14ac:dyDescent="0.3">
      <c r="A6474" t="s">
        <v>5394</v>
      </c>
      <c r="B6474" t="s">
        <v>176</v>
      </c>
    </row>
    <row r="6475" spans="1:2" x14ac:dyDescent="0.3">
      <c r="B6475" t="s">
        <v>186</v>
      </c>
    </row>
    <row r="6476" spans="1:2" x14ac:dyDescent="0.3">
      <c r="B6476" t="s">
        <v>186</v>
      </c>
    </row>
    <row r="6477" spans="1:2" x14ac:dyDescent="0.3">
      <c r="A6477" t="s">
        <v>5395</v>
      </c>
      <c r="B6477" t="s">
        <v>258</v>
      </c>
    </row>
    <row r="6478" spans="1:2" x14ac:dyDescent="0.3">
      <c r="A6478" t="s">
        <v>5396</v>
      </c>
      <c r="B6478" t="s">
        <v>172</v>
      </c>
    </row>
    <row r="6479" spans="1:2" x14ac:dyDescent="0.3">
      <c r="B6479" t="s">
        <v>72</v>
      </c>
    </row>
    <row r="6480" spans="1:2" x14ac:dyDescent="0.3">
      <c r="B6480" t="s">
        <v>801</v>
      </c>
    </row>
    <row r="6481" spans="1:2" x14ac:dyDescent="0.3">
      <c r="A6481" t="s">
        <v>5397</v>
      </c>
      <c r="B6481" t="s">
        <v>72</v>
      </c>
    </row>
    <row r="6482" spans="1:2" x14ac:dyDescent="0.3">
      <c r="B6482" t="s">
        <v>896</v>
      </c>
    </row>
    <row r="6483" spans="1:2" x14ac:dyDescent="0.3">
      <c r="B6483" t="s">
        <v>1</v>
      </c>
    </row>
    <row r="6484" spans="1:2" x14ac:dyDescent="0.3">
      <c r="A6484" t="s">
        <v>5398</v>
      </c>
      <c r="B6484" t="s">
        <v>1</v>
      </c>
    </row>
    <row r="6485" spans="1:2" x14ac:dyDescent="0.3">
      <c r="A6485" t="s">
        <v>5399</v>
      </c>
      <c r="B6485" t="s">
        <v>1107</v>
      </c>
    </row>
    <row r="6486" spans="1:2" x14ac:dyDescent="0.3">
      <c r="B6486" t="s">
        <v>261</v>
      </c>
    </row>
    <row r="6487" spans="1:2" x14ac:dyDescent="0.3">
      <c r="A6487" t="s">
        <v>5400</v>
      </c>
      <c r="B6487" t="s">
        <v>1527</v>
      </c>
    </row>
    <row r="6488" spans="1:2" x14ac:dyDescent="0.3">
      <c r="A6488" t="s">
        <v>5401</v>
      </c>
      <c r="B6488" t="s">
        <v>171</v>
      </c>
    </row>
    <row r="6489" spans="1:2" x14ac:dyDescent="0.3">
      <c r="A6489" t="s">
        <v>5402</v>
      </c>
      <c r="B6489" t="s">
        <v>171</v>
      </c>
    </row>
    <row r="6490" spans="1:2" x14ac:dyDescent="0.3">
      <c r="B6490" t="s">
        <v>1728</v>
      </c>
    </row>
    <row r="6491" spans="1:2" x14ac:dyDescent="0.3">
      <c r="B6491" t="s">
        <v>72</v>
      </c>
    </row>
    <row r="6492" spans="1:2" x14ac:dyDescent="0.3">
      <c r="B6492" t="s">
        <v>72</v>
      </c>
    </row>
    <row r="6493" spans="1:2" x14ac:dyDescent="0.3">
      <c r="B6493" t="s">
        <v>72</v>
      </c>
    </row>
    <row r="6494" spans="1:2" x14ac:dyDescent="0.3">
      <c r="B6494" t="s">
        <v>72</v>
      </c>
    </row>
    <row r="6495" spans="1:2" x14ac:dyDescent="0.3">
      <c r="A6495" t="s">
        <v>5403</v>
      </c>
      <c r="B6495" t="s">
        <v>72</v>
      </c>
    </row>
    <row r="6496" spans="1:2" x14ac:dyDescent="0.3">
      <c r="A6496" t="s">
        <v>5404</v>
      </c>
      <c r="B6496" t="s">
        <v>72</v>
      </c>
    </row>
    <row r="6497" spans="1:2" x14ac:dyDescent="0.3">
      <c r="B6497" t="s">
        <v>1779</v>
      </c>
    </row>
    <row r="6498" spans="1:2" x14ac:dyDescent="0.3">
      <c r="A6498" t="s">
        <v>5405</v>
      </c>
      <c r="B6498" t="s">
        <v>1</v>
      </c>
    </row>
    <row r="6499" spans="1:2" x14ac:dyDescent="0.3">
      <c r="A6499" t="s">
        <v>5406</v>
      </c>
      <c r="B6499" t="s">
        <v>1059</v>
      </c>
    </row>
    <row r="6500" spans="1:2" x14ac:dyDescent="0.3">
      <c r="A6500" t="s">
        <v>5407</v>
      </c>
      <c r="B6500" t="s">
        <v>1</v>
      </c>
    </row>
    <row r="6501" spans="1:2" x14ac:dyDescent="0.3">
      <c r="B6501" t="s">
        <v>245</v>
      </c>
    </row>
    <row r="6502" spans="1:2" x14ac:dyDescent="0.3">
      <c r="A6502" t="s">
        <v>5408</v>
      </c>
      <c r="B6502" t="s">
        <v>1</v>
      </c>
    </row>
    <row r="6503" spans="1:2" x14ac:dyDescent="0.3">
      <c r="B6503" t="s">
        <v>1</v>
      </c>
    </row>
    <row r="6504" spans="1:2" x14ac:dyDescent="0.3">
      <c r="B6504" t="s">
        <v>1</v>
      </c>
    </row>
    <row r="6505" spans="1:2" x14ac:dyDescent="0.3">
      <c r="B6505" t="s">
        <v>1</v>
      </c>
    </row>
    <row r="6506" spans="1:2" x14ac:dyDescent="0.3">
      <c r="B6506" t="s">
        <v>1</v>
      </c>
    </row>
    <row r="6507" spans="1:2" x14ac:dyDescent="0.3">
      <c r="A6507" t="s">
        <v>5409</v>
      </c>
      <c r="B6507" t="s">
        <v>176</v>
      </c>
    </row>
    <row r="6508" spans="1:2" x14ac:dyDescent="0.3">
      <c r="A6508" t="s">
        <v>5410</v>
      </c>
      <c r="B6508" t="s">
        <v>72</v>
      </c>
    </row>
    <row r="6509" spans="1:2" x14ac:dyDescent="0.3">
      <c r="A6509" t="s">
        <v>5411</v>
      </c>
      <c r="B6509" t="s">
        <v>72</v>
      </c>
    </row>
    <row r="6510" spans="1:2" x14ac:dyDescent="0.3">
      <c r="A6510" t="s">
        <v>5412</v>
      </c>
      <c r="B6510" t="s">
        <v>1</v>
      </c>
    </row>
    <row r="6511" spans="1:2" x14ac:dyDescent="0.3">
      <c r="A6511" t="s">
        <v>5413</v>
      </c>
      <c r="B6511" t="s">
        <v>1</v>
      </c>
    </row>
    <row r="6512" spans="1:2" x14ac:dyDescent="0.3">
      <c r="B6512" t="s">
        <v>249</v>
      </c>
    </row>
    <row r="6513" spans="1:2" x14ac:dyDescent="0.3">
      <c r="A6513" t="s">
        <v>5414</v>
      </c>
      <c r="B6513" t="s">
        <v>1</v>
      </c>
    </row>
    <row r="6514" spans="1:2" x14ac:dyDescent="0.3">
      <c r="B6514" t="s">
        <v>228</v>
      </c>
    </row>
    <row r="6515" spans="1:2" x14ac:dyDescent="0.3">
      <c r="A6515" t="s">
        <v>5415</v>
      </c>
      <c r="B6515" t="s">
        <v>1</v>
      </c>
    </row>
    <row r="6516" spans="1:2" x14ac:dyDescent="0.3">
      <c r="B6516" t="s">
        <v>1044</v>
      </c>
    </row>
    <row r="6517" spans="1:2" x14ac:dyDescent="0.3">
      <c r="B6517" t="s">
        <v>1</v>
      </c>
    </row>
    <row r="6518" spans="1:2" x14ac:dyDescent="0.3">
      <c r="B6518" t="s">
        <v>1</v>
      </c>
    </row>
    <row r="6519" spans="1:2" x14ac:dyDescent="0.3">
      <c r="B6519" t="s">
        <v>1</v>
      </c>
    </row>
    <row r="6520" spans="1:2" x14ac:dyDescent="0.3">
      <c r="B6520" t="s">
        <v>1</v>
      </c>
    </row>
    <row r="6521" spans="1:2" x14ac:dyDescent="0.3">
      <c r="A6521" t="s">
        <v>5416</v>
      </c>
      <c r="B6521" t="s">
        <v>1694</v>
      </c>
    </row>
    <row r="6522" spans="1:2" x14ac:dyDescent="0.3">
      <c r="B6522" t="s">
        <v>1751</v>
      </c>
    </row>
    <row r="6523" spans="1:2" x14ac:dyDescent="0.3">
      <c r="B6523" t="s">
        <v>249</v>
      </c>
    </row>
    <row r="6524" spans="1:2" x14ac:dyDescent="0.3">
      <c r="B6524" t="s">
        <v>249</v>
      </c>
    </row>
    <row r="6525" spans="1:2" x14ac:dyDescent="0.3">
      <c r="B6525" t="s">
        <v>249</v>
      </c>
    </row>
    <row r="6526" spans="1:2" x14ac:dyDescent="0.3">
      <c r="B6526" t="s">
        <v>249</v>
      </c>
    </row>
    <row r="6527" spans="1:2" x14ac:dyDescent="0.3">
      <c r="B6527" t="s">
        <v>896</v>
      </c>
    </row>
    <row r="6528" spans="1:2" x14ac:dyDescent="0.3">
      <c r="B6528" t="s">
        <v>896</v>
      </c>
    </row>
    <row r="6529" spans="1:2" x14ac:dyDescent="0.3">
      <c r="B6529" t="s">
        <v>2</v>
      </c>
    </row>
    <row r="6530" spans="1:2" x14ac:dyDescent="0.3">
      <c r="A6530" t="s">
        <v>5417</v>
      </c>
      <c r="B6530" t="s">
        <v>1</v>
      </c>
    </row>
    <row r="6531" spans="1:2" x14ac:dyDescent="0.3">
      <c r="A6531" t="s">
        <v>5418</v>
      </c>
      <c r="B6531" t="s">
        <v>1</v>
      </c>
    </row>
    <row r="6532" spans="1:2" x14ac:dyDescent="0.3">
      <c r="A6532" t="s">
        <v>5419</v>
      </c>
      <c r="B6532" t="s">
        <v>1</v>
      </c>
    </row>
    <row r="6533" spans="1:2" x14ac:dyDescent="0.3">
      <c r="B6533" t="s">
        <v>888</v>
      </c>
    </row>
    <row r="6534" spans="1:2" x14ac:dyDescent="0.3">
      <c r="B6534" t="s">
        <v>888</v>
      </c>
    </row>
    <row r="6535" spans="1:2" x14ac:dyDescent="0.3">
      <c r="B6535" t="s">
        <v>888</v>
      </c>
    </row>
    <row r="6536" spans="1:2" x14ac:dyDescent="0.3">
      <c r="B6536" t="s">
        <v>888</v>
      </c>
    </row>
    <row r="6537" spans="1:2" x14ac:dyDescent="0.3">
      <c r="A6537" t="s">
        <v>5420</v>
      </c>
      <c r="B6537" t="s">
        <v>258</v>
      </c>
    </row>
    <row r="6538" spans="1:2" x14ac:dyDescent="0.3">
      <c r="A6538" t="s">
        <v>5421</v>
      </c>
      <c r="B6538" t="s">
        <v>2353</v>
      </c>
    </row>
    <row r="6539" spans="1:2" x14ac:dyDescent="0.3">
      <c r="B6539" t="s">
        <v>175</v>
      </c>
    </row>
    <row r="6540" spans="1:2" x14ac:dyDescent="0.3">
      <c r="B6540" t="s">
        <v>175</v>
      </c>
    </row>
    <row r="6541" spans="1:2" x14ac:dyDescent="0.3">
      <c r="B6541" t="s">
        <v>1</v>
      </c>
    </row>
    <row r="6542" spans="1:2" x14ac:dyDescent="0.3">
      <c r="B6542" t="s">
        <v>181</v>
      </c>
    </row>
    <row r="6543" spans="1:2" x14ac:dyDescent="0.3">
      <c r="A6543" t="s">
        <v>5422</v>
      </c>
      <c r="B6543" t="s">
        <v>172</v>
      </c>
    </row>
    <row r="6544" spans="1:2" x14ac:dyDescent="0.3">
      <c r="A6544" t="s">
        <v>5423</v>
      </c>
      <c r="B6544" t="s">
        <v>172</v>
      </c>
    </row>
    <row r="6545" spans="1:2" x14ac:dyDescent="0.3">
      <c r="A6545" t="s">
        <v>5424</v>
      </c>
      <c r="B6545" t="s">
        <v>172</v>
      </c>
    </row>
    <row r="6546" spans="1:2" x14ac:dyDescent="0.3">
      <c r="A6546" t="s">
        <v>5425</v>
      </c>
      <c r="B6546" t="s">
        <v>1</v>
      </c>
    </row>
    <row r="6547" spans="1:2" x14ac:dyDescent="0.3">
      <c r="A6547" t="s">
        <v>5426</v>
      </c>
      <c r="B6547" t="s">
        <v>201</v>
      </c>
    </row>
    <row r="6548" spans="1:2" x14ac:dyDescent="0.3">
      <c r="A6548" t="s">
        <v>5427</v>
      </c>
      <c r="B6548" t="s">
        <v>172</v>
      </c>
    </row>
    <row r="6549" spans="1:2" x14ac:dyDescent="0.3">
      <c r="A6549" t="s">
        <v>5428</v>
      </c>
      <c r="B6549" t="s">
        <v>172</v>
      </c>
    </row>
    <row r="6550" spans="1:2" x14ac:dyDescent="0.3">
      <c r="B6550" t="s">
        <v>172</v>
      </c>
    </row>
    <row r="6551" spans="1:2" x14ac:dyDescent="0.3">
      <c r="A6551" t="s">
        <v>5429</v>
      </c>
      <c r="B6551" t="s">
        <v>249</v>
      </c>
    </row>
    <row r="6552" spans="1:2" x14ac:dyDescent="0.3">
      <c r="B6552" t="s">
        <v>171</v>
      </c>
    </row>
    <row r="6553" spans="1:2" x14ac:dyDescent="0.3">
      <c r="A6553" t="s">
        <v>5430</v>
      </c>
      <c r="B6553" t="s">
        <v>1</v>
      </c>
    </row>
    <row r="6554" spans="1:2" x14ac:dyDescent="0.3">
      <c r="A6554" t="s">
        <v>5431</v>
      </c>
      <c r="B6554" t="s">
        <v>1</v>
      </c>
    </row>
    <row r="6555" spans="1:2" x14ac:dyDescent="0.3">
      <c r="A6555" t="s">
        <v>5432</v>
      </c>
      <c r="B6555" t="s">
        <v>1</v>
      </c>
    </row>
    <row r="6556" spans="1:2" x14ac:dyDescent="0.3">
      <c r="B6556" t="s">
        <v>1</v>
      </c>
    </row>
    <row r="6557" spans="1:2" x14ac:dyDescent="0.3">
      <c r="A6557" t="s">
        <v>5433</v>
      </c>
      <c r="B6557" t="s">
        <v>1</v>
      </c>
    </row>
    <row r="6558" spans="1:2" x14ac:dyDescent="0.3">
      <c r="A6558" t="s">
        <v>5434</v>
      </c>
      <c r="B6558" t="s">
        <v>1</v>
      </c>
    </row>
    <row r="6559" spans="1:2" x14ac:dyDescent="0.3">
      <c r="A6559" t="s">
        <v>5435</v>
      </c>
      <c r="B6559" t="s">
        <v>1</v>
      </c>
    </row>
    <row r="6560" spans="1:2" x14ac:dyDescent="0.3">
      <c r="A6560" t="s">
        <v>5436</v>
      </c>
      <c r="B6560" t="s">
        <v>1</v>
      </c>
    </row>
    <row r="6561" spans="1:2" x14ac:dyDescent="0.3">
      <c r="A6561" t="s">
        <v>5437</v>
      </c>
      <c r="B6561" t="s">
        <v>1</v>
      </c>
    </row>
    <row r="6562" spans="1:2" x14ac:dyDescent="0.3">
      <c r="A6562" t="s">
        <v>5438</v>
      </c>
      <c r="B6562" t="s">
        <v>172</v>
      </c>
    </row>
    <row r="6563" spans="1:2" x14ac:dyDescent="0.3">
      <c r="B6563" t="s">
        <v>1138</v>
      </c>
    </row>
    <row r="6564" spans="1:2" x14ac:dyDescent="0.3">
      <c r="B6564" t="s">
        <v>1138</v>
      </c>
    </row>
    <row r="6565" spans="1:2" x14ac:dyDescent="0.3">
      <c r="A6565" t="s">
        <v>5439</v>
      </c>
      <c r="B6565" t="s">
        <v>1</v>
      </c>
    </row>
    <row r="6566" spans="1:2" x14ac:dyDescent="0.3">
      <c r="A6566" t="s">
        <v>5440</v>
      </c>
      <c r="B6566" t="s">
        <v>1</v>
      </c>
    </row>
    <row r="6567" spans="1:2" x14ac:dyDescent="0.3">
      <c r="B6567" t="s">
        <v>166</v>
      </c>
    </row>
    <row r="6568" spans="1:2" x14ac:dyDescent="0.3">
      <c r="A6568" t="s">
        <v>5441</v>
      </c>
      <c r="B6568" t="s">
        <v>1</v>
      </c>
    </row>
    <row r="6569" spans="1:2" x14ac:dyDescent="0.3">
      <c r="A6569" t="s">
        <v>5442</v>
      </c>
      <c r="B6569" t="s">
        <v>2353</v>
      </c>
    </row>
    <row r="6570" spans="1:2" x14ac:dyDescent="0.3">
      <c r="B6570" t="s">
        <v>1</v>
      </c>
    </row>
    <row r="6571" spans="1:2" x14ac:dyDescent="0.3">
      <c r="A6571" t="s">
        <v>5443</v>
      </c>
      <c r="B6571" t="s">
        <v>72</v>
      </c>
    </row>
    <row r="6572" spans="1:2" x14ac:dyDescent="0.3">
      <c r="A6572" t="s">
        <v>5444</v>
      </c>
      <c r="B6572" t="s">
        <v>72</v>
      </c>
    </row>
    <row r="6573" spans="1:2" x14ac:dyDescent="0.3">
      <c r="A6573" t="s">
        <v>5445</v>
      </c>
      <c r="B6573" t="s">
        <v>1</v>
      </c>
    </row>
    <row r="6574" spans="1:2" x14ac:dyDescent="0.3">
      <c r="A6574" t="s">
        <v>5446</v>
      </c>
      <c r="B6574" t="s">
        <v>1</v>
      </c>
    </row>
    <row r="6575" spans="1:2" x14ac:dyDescent="0.3">
      <c r="A6575" t="s">
        <v>5447</v>
      </c>
      <c r="B6575" t="s">
        <v>2353</v>
      </c>
    </row>
    <row r="6576" spans="1:2" x14ac:dyDescent="0.3">
      <c r="B6576" t="s">
        <v>177</v>
      </c>
    </row>
    <row r="6577" spans="1:2" x14ac:dyDescent="0.3">
      <c r="B6577" t="s">
        <v>177</v>
      </c>
    </row>
    <row r="6578" spans="1:2" x14ac:dyDescent="0.3">
      <c r="B6578" t="s">
        <v>896</v>
      </c>
    </row>
    <row r="6579" spans="1:2" x14ac:dyDescent="0.3">
      <c r="B6579" t="s">
        <v>174</v>
      </c>
    </row>
    <row r="6580" spans="1:2" x14ac:dyDescent="0.3">
      <c r="A6580" t="s">
        <v>5448</v>
      </c>
      <c r="B6580" t="s">
        <v>1</v>
      </c>
    </row>
    <row r="6581" spans="1:2" x14ac:dyDescent="0.3">
      <c r="B6581" t="s">
        <v>72</v>
      </c>
    </row>
    <row r="6582" spans="1:2" x14ac:dyDescent="0.3">
      <c r="B6582" t="s">
        <v>72</v>
      </c>
    </row>
    <row r="6583" spans="1:2" x14ac:dyDescent="0.3">
      <c r="B6583" t="s">
        <v>1</v>
      </c>
    </row>
    <row r="6584" spans="1:2" x14ac:dyDescent="0.3">
      <c r="B6584" t="s">
        <v>1</v>
      </c>
    </row>
    <row r="6585" spans="1:2" x14ac:dyDescent="0.3">
      <c r="B6585" t="s">
        <v>1</v>
      </c>
    </row>
    <row r="6586" spans="1:2" x14ac:dyDescent="0.3">
      <c r="B6586" t="s">
        <v>3173</v>
      </c>
    </row>
    <row r="6587" spans="1:2" x14ac:dyDescent="0.3">
      <c r="B6587" t="s">
        <v>174</v>
      </c>
    </row>
    <row r="6588" spans="1:2" x14ac:dyDescent="0.3">
      <c r="B6588" t="s">
        <v>174</v>
      </c>
    </row>
    <row r="6589" spans="1:2" x14ac:dyDescent="0.3">
      <c r="B6589" t="s">
        <v>174</v>
      </c>
    </row>
    <row r="6590" spans="1:2" x14ac:dyDescent="0.3">
      <c r="A6590" t="s">
        <v>5449</v>
      </c>
      <c r="B6590" t="s">
        <v>72</v>
      </c>
    </row>
    <row r="6591" spans="1:2" x14ac:dyDescent="0.3">
      <c r="B6591" t="s">
        <v>102</v>
      </c>
    </row>
    <row r="6592" spans="1:2" x14ac:dyDescent="0.3">
      <c r="B6592" t="s">
        <v>228</v>
      </c>
    </row>
    <row r="6593" spans="1:2" x14ac:dyDescent="0.3">
      <c r="B6593" t="s">
        <v>186</v>
      </c>
    </row>
    <row r="6594" spans="1:2" x14ac:dyDescent="0.3">
      <c r="A6594" t="s">
        <v>5450</v>
      </c>
      <c r="B6594" t="s">
        <v>228</v>
      </c>
    </row>
    <row r="6595" spans="1:2" x14ac:dyDescent="0.3">
      <c r="B6595" t="s">
        <v>186</v>
      </c>
    </row>
    <row r="6596" spans="1:2" x14ac:dyDescent="0.3">
      <c r="B6596" t="s">
        <v>165</v>
      </c>
    </row>
    <row r="6597" spans="1:2" x14ac:dyDescent="0.3">
      <c r="B6597" t="s">
        <v>165</v>
      </c>
    </row>
    <row r="6598" spans="1:2" x14ac:dyDescent="0.3">
      <c r="B6598" t="s">
        <v>165</v>
      </c>
    </row>
    <row r="6599" spans="1:2" x14ac:dyDescent="0.3">
      <c r="A6599" t="s">
        <v>5451</v>
      </c>
      <c r="B6599" t="s">
        <v>97</v>
      </c>
    </row>
    <row r="6600" spans="1:2" x14ac:dyDescent="0.3">
      <c r="B6600" t="s">
        <v>888</v>
      </c>
    </row>
    <row r="6601" spans="1:2" x14ac:dyDescent="0.3">
      <c r="B6601" t="s">
        <v>3338</v>
      </c>
    </row>
    <row r="6602" spans="1:2" x14ac:dyDescent="0.3">
      <c r="B6602" t="s">
        <v>3338</v>
      </c>
    </row>
    <row r="6603" spans="1:2" x14ac:dyDescent="0.3">
      <c r="A6603" t="s">
        <v>5452</v>
      </c>
      <c r="B6603" t="s">
        <v>3338</v>
      </c>
    </row>
    <row r="6604" spans="1:2" x14ac:dyDescent="0.3">
      <c r="A6604" t="s">
        <v>5453</v>
      </c>
      <c r="B6604" t="s">
        <v>179</v>
      </c>
    </row>
    <row r="6605" spans="1:2" x14ac:dyDescent="0.3">
      <c r="A6605" t="s">
        <v>5454</v>
      </c>
      <c r="B6605" t="s">
        <v>1</v>
      </c>
    </row>
    <row r="6606" spans="1:2" x14ac:dyDescent="0.3">
      <c r="A6606" t="s">
        <v>5455</v>
      </c>
      <c r="B6606" t="s">
        <v>172</v>
      </c>
    </row>
    <row r="6607" spans="1:2" x14ac:dyDescent="0.3">
      <c r="A6607" t="s">
        <v>5456</v>
      </c>
      <c r="B6607" t="s">
        <v>172</v>
      </c>
    </row>
    <row r="6608" spans="1:2" x14ac:dyDescent="0.3">
      <c r="A6608" t="s">
        <v>5457</v>
      </c>
      <c r="B6608" t="s">
        <v>172</v>
      </c>
    </row>
    <row r="6609" spans="1:2" x14ac:dyDescent="0.3">
      <c r="B6609" t="s">
        <v>1</v>
      </c>
    </row>
    <row r="6610" spans="1:2" x14ac:dyDescent="0.3">
      <c r="B6610" t="s">
        <v>72</v>
      </c>
    </row>
    <row r="6611" spans="1:2" x14ac:dyDescent="0.3">
      <c r="B6611" t="s">
        <v>72</v>
      </c>
    </row>
    <row r="6612" spans="1:2" x14ac:dyDescent="0.3">
      <c r="B6612" t="s">
        <v>72</v>
      </c>
    </row>
    <row r="6613" spans="1:2" x14ac:dyDescent="0.3">
      <c r="B6613" t="s">
        <v>191</v>
      </c>
    </row>
    <row r="6614" spans="1:2" x14ac:dyDescent="0.3">
      <c r="B6614" t="s">
        <v>72</v>
      </c>
    </row>
    <row r="6615" spans="1:2" x14ac:dyDescent="0.3">
      <c r="B6615" t="s">
        <v>1</v>
      </c>
    </row>
    <row r="6616" spans="1:2" x14ac:dyDescent="0.3">
      <c r="A6616" t="s">
        <v>5458</v>
      </c>
      <c r="B6616" t="s">
        <v>166</v>
      </c>
    </row>
    <row r="6617" spans="1:2" x14ac:dyDescent="0.3">
      <c r="A6617" t="s">
        <v>5459</v>
      </c>
      <c r="B6617" t="s">
        <v>1</v>
      </c>
    </row>
    <row r="6618" spans="1:2" x14ac:dyDescent="0.3">
      <c r="A6618" t="s">
        <v>5460</v>
      </c>
      <c r="B6618" t="s">
        <v>176</v>
      </c>
    </row>
    <row r="6619" spans="1:2" x14ac:dyDescent="0.3">
      <c r="B6619" t="s">
        <v>1</v>
      </c>
    </row>
    <row r="6620" spans="1:2" x14ac:dyDescent="0.3">
      <c r="B6620" t="s">
        <v>1</v>
      </c>
    </row>
    <row r="6621" spans="1:2" x14ac:dyDescent="0.3">
      <c r="B6621" t="s">
        <v>1</v>
      </c>
    </row>
    <row r="6622" spans="1:2" x14ac:dyDescent="0.3">
      <c r="B6622" t="s">
        <v>1</v>
      </c>
    </row>
    <row r="6623" spans="1:2" x14ac:dyDescent="0.3">
      <c r="B6623" t="s">
        <v>1</v>
      </c>
    </row>
    <row r="6624" spans="1:2" x14ac:dyDescent="0.3">
      <c r="B6624" t="s">
        <v>1</v>
      </c>
    </row>
    <row r="6625" spans="1:2" x14ac:dyDescent="0.3">
      <c r="A6625" t="s">
        <v>5461</v>
      </c>
      <c r="B6625" t="s">
        <v>1</v>
      </c>
    </row>
    <row r="6626" spans="1:2" x14ac:dyDescent="0.3">
      <c r="A6626" t="s">
        <v>5462</v>
      </c>
      <c r="B6626" t="s">
        <v>1</v>
      </c>
    </row>
    <row r="6627" spans="1:2" x14ac:dyDescent="0.3">
      <c r="A6627" t="s">
        <v>5463</v>
      </c>
      <c r="B6627" t="s">
        <v>1</v>
      </c>
    </row>
    <row r="6628" spans="1:2" x14ac:dyDescent="0.3">
      <c r="A6628" t="s">
        <v>5464</v>
      </c>
      <c r="B6628" t="s">
        <v>888</v>
      </c>
    </row>
    <row r="6629" spans="1:2" x14ac:dyDescent="0.3">
      <c r="B6629" t="s">
        <v>72</v>
      </c>
    </row>
    <row r="6630" spans="1:2" x14ac:dyDescent="0.3">
      <c r="A6630" t="s">
        <v>5465</v>
      </c>
      <c r="B6630" t="s">
        <v>177</v>
      </c>
    </row>
    <row r="6631" spans="1:2" x14ac:dyDescent="0.3">
      <c r="A6631" t="s">
        <v>5466</v>
      </c>
      <c r="B6631" t="s">
        <v>1</v>
      </c>
    </row>
    <row r="6632" spans="1:2" x14ac:dyDescent="0.3">
      <c r="B6632" t="s">
        <v>166</v>
      </c>
    </row>
    <row r="6633" spans="1:2" x14ac:dyDescent="0.3">
      <c r="B6633" t="s">
        <v>2469</v>
      </c>
    </row>
    <row r="6634" spans="1:2" x14ac:dyDescent="0.3">
      <c r="B6634" t="s">
        <v>2469</v>
      </c>
    </row>
    <row r="6635" spans="1:2" x14ac:dyDescent="0.3">
      <c r="B6635" t="s">
        <v>896</v>
      </c>
    </row>
    <row r="6636" spans="1:2" x14ac:dyDescent="0.3">
      <c r="B6636" t="s">
        <v>896</v>
      </c>
    </row>
    <row r="6637" spans="1:2" x14ac:dyDescent="0.3">
      <c r="A6637" t="s">
        <v>5467</v>
      </c>
      <c r="B6637" t="s">
        <v>1</v>
      </c>
    </row>
    <row r="6638" spans="1:2" x14ac:dyDescent="0.3">
      <c r="A6638" t="s">
        <v>5468</v>
      </c>
      <c r="B6638" t="s">
        <v>1</v>
      </c>
    </row>
    <row r="6639" spans="1:2" x14ac:dyDescent="0.3">
      <c r="A6639" t="s">
        <v>12</v>
      </c>
      <c r="B6639" t="s">
        <v>1</v>
      </c>
    </row>
    <row r="6640" spans="1:2" x14ac:dyDescent="0.3">
      <c r="A6640" t="s">
        <v>5469</v>
      </c>
      <c r="B6640" t="s">
        <v>1</v>
      </c>
    </row>
    <row r="6641" spans="1:2" x14ac:dyDescent="0.3">
      <c r="B6641" t="s">
        <v>172</v>
      </c>
    </row>
    <row r="6642" spans="1:2" x14ac:dyDescent="0.3">
      <c r="B6642" t="s">
        <v>104</v>
      </c>
    </row>
    <row r="6643" spans="1:2" x14ac:dyDescent="0.3">
      <c r="A6643" t="s">
        <v>5470</v>
      </c>
      <c r="B6643" t="s">
        <v>103</v>
      </c>
    </row>
    <row r="6644" spans="1:2" x14ac:dyDescent="0.3">
      <c r="A6644" t="s">
        <v>5471</v>
      </c>
      <c r="B6644" t="s">
        <v>896</v>
      </c>
    </row>
    <row r="6645" spans="1:2" x14ac:dyDescent="0.3">
      <c r="B6645" t="s">
        <v>191</v>
      </c>
    </row>
    <row r="6646" spans="1:2" x14ac:dyDescent="0.3">
      <c r="A6646" t="s">
        <v>5472</v>
      </c>
      <c r="B6646" t="s">
        <v>172</v>
      </c>
    </row>
    <row r="6647" spans="1:2" x14ac:dyDescent="0.3">
      <c r="A6647" t="s">
        <v>5473</v>
      </c>
      <c r="B6647" t="s">
        <v>172</v>
      </c>
    </row>
    <row r="6648" spans="1:2" x14ac:dyDescent="0.3">
      <c r="B6648" t="s">
        <v>172</v>
      </c>
    </row>
    <row r="6649" spans="1:2" x14ac:dyDescent="0.3">
      <c r="B6649" t="s">
        <v>172</v>
      </c>
    </row>
    <row r="6650" spans="1:2" x14ac:dyDescent="0.3">
      <c r="B6650" t="s">
        <v>77</v>
      </c>
    </row>
    <row r="6651" spans="1:2" x14ac:dyDescent="0.3">
      <c r="A6651" t="s">
        <v>5474</v>
      </c>
      <c r="B6651" t="s">
        <v>74</v>
      </c>
    </row>
    <row r="6652" spans="1:2" x14ac:dyDescent="0.3">
      <c r="A6652" t="s">
        <v>5475</v>
      </c>
      <c r="B6652" t="s">
        <v>1</v>
      </c>
    </row>
    <row r="6653" spans="1:2" x14ac:dyDescent="0.3">
      <c r="A6653" t="s">
        <v>5476</v>
      </c>
      <c r="B6653" t="s">
        <v>169</v>
      </c>
    </row>
    <row r="6654" spans="1:2" x14ac:dyDescent="0.3">
      <c r="A6654" t="s">
        <v>5477</v>
      </c>
      <c r="B6654" t="s">
        <v>2</v>
      </c>
    </row>
    <row r="6655" spans="1:2" x14ac:dyDescent="0.3">
      <c r="A6655" t="s">
        <v>5478</v>
      </c>
      <c r="B6655" t="s">
        <v>2</v>
      </c>
    </row>
    <row r="6656" spans="1:2" x14ac:dyDescent="0.3">
      <c r="B6656" t="s">
        <v>97</v>
      </c>
    </row>
    <row r="6657" spans="1:2" x14ac:dyDescent="0.3">
      <c r="A6657" t="s">
        <v>5479</v>
      </c>
      <c r="B6657" t="s">
        <v>176</v>
      </c>
    </row>
    <row r="6658" spans="1:2" x14ac:dyDescent="0.3">
      <c r="A6658" t="s">
        <v>5480</v>
      </c>
      <c r="B6658" t="s">
        <v>3338</v>
      </c>
    </row>
    <row r="6659" spans="1:2" x14ac:dyDescent="0.3">
      <c r="A6659" t="s">
        <v>5481</v>
      </c>
      <c r="B6659" t="s">
        <v>3338</v>
      </c>
    </row>
    <row r="6660" spans="1:2" x14ac:dyDescent="0.3">
      <c r="B6660" t="s">
        <v>72</v>
      </c>
    </row>
    <row r="6661" spans="1:2" x14ac:dyDescent="0.3">
      <c r="B6661" t="s">
        <v>72</v>
      </c>
    </row>
    <row r="6662" spans="1:2" x14ac:dyDescent="0.3">
      <c r="B6662" t="s">
        <v>72</v>
      </c>
    </row>
    <row r="6663" spans="1:2" x14ac:dyDescent="0.3">
      <c r="B6663" t="s">
        <v>72</v>
      </c>
    </row>
    <row r="6664" spans="1:2" x14ac:dyDescent="0.3">
      <c r="B6664" t="s">
        <v>72</v>
      </c>
    </row>
    <row r="6665" spans="1:2" x14ac:dyDescent="0.3">
      <c r="B6665" t="s">
        <v>72</v>
      </c>
    </row>
    <row r="6666" spans="1:2" x14ac:dyDescent="0.3">
      <c r="B6666" t="s">
        <v>72</v>
      </c>
    </row>
    <row r="6667" spans="1:2" x14ac:dyDescent="0.3">
      <c r="B6667" t="s">
        <v>72</v>
      </c>
    </row>
    <row r="6668" spans="1:2" x14ac:dyDescent="0.3">
      <c r="B6668" t="s">
        <v>72</v>
      </c>
    </row>
    <row r="6669" spans="1:2" x14ac:dyDescent="0.3">
      <c r="B6669" t="s">
        <v>72</v>
      </c>
    </row>
    <row r="6670" spans="1:2" x14ac:dyDescent="0.3">
      <c r="B6670" t="s">
        <v>72</v>
      </c>
    </row>
    <row r="6671" spans="1:2" x14ac:dyDescent="0.3">
      <c r="B6671" t="s">
        <v>72</v>
      </c>
    </row>
    <row r="6672" spans="1:2" x14ac:dyDescent="0.3">
      <c r="B6672" t="s">
        <v>163</v>
      </c>
    </row>
    <row r="6673" spans="1:2" x14ac:dyDescent="0.3">
      <c r="B6673" t="s">
        <v>72</v>
      </c>
    </row>
    <row r="6674" spans="1:2" x14ac:dyDescent="0.3">
      <c r="B6674" t="s">
        <v>72</v>
      </c>
    </row>
    <row r="6675" spans="1:2" x14ac:dyDescent="0.3">
      <c r="B6675" t="s">
        <v>72</v>
      </c>
    </row>
    <row r="6676" spans="1:2" x14ac:dyDescent="0.3">
      <c r="B6676" t="s">
        <v>72</v>
      </c>
    </row>
    <row r="6677" spans="1:2" x14ac:dyDescent="0.3">
      <c r="B6677" t="s">
        <v>72</v>
      </c>
    </row>
    <row r="6678" spans="1:2" x14ac:dyDescent="0.3">
      <c r="B6678" t="s">
        <v>72</v>
      </c>
    </row>
    <row r="6679" spans="1:2" x14ac:dyDescent="0.3">
      <c r="B6679" t="s">
        <v>72</v>
      </c>
    </row>
    <row r="6680" spans="1:2" x14ac:dyDescent="0.3">
      <c r="B6680" t="s">
        <v>72</v>
      </c>
    </row>
    <row r="6681" spans="1:2" x14ac:dyDescent="0.3">
      <c r="B6681" t="s">
        <v>72</v>
      </c>
    </row>
    <row r="6682" spans="1:2" x14ac:dyDescent="0.3">
      <c r="B6682" t="s">
        <v>72</v>
      </c>
    </row>
    <row r="6683" spans="1:2" x14ac:dyDescent="0.3">
      <c r="B6683" t="s">
        <v>72</v>
      </c>
    </row>
    <row r="6684" spans="1:2" x14ac:dyDescent="0.3">
      <c r="B6684" t="s">
        <v>72</v>
      </c>
    </row>
    <row r="6685" spans="1:2" x14ac:dyDescent="0.3">
      <c r="B6685" t="s">
        <v>72</v>
      </c>
    </row>
    <row r="6686" spans="1:2" x14ac:dyDescent="0.3">
      <c r="B6686" t="s">
        <v>72</v>
      </c>
    </row>
    <row r="6687" spans="1:2" x14ac:dyDescent="0.3">
      <c r="B6687" t="s">
        <v>72</v>
      </c>
    </row>
    <row r="6688" spans="1:2" x14ac:dyDescent="0.3">
      <c r="A6688" t="s">
        <v>5482</v>
      </c>
      <c r="B6688" t="s">
        <v>72</v>
      </c>
    </row>
    <row r="6689" spans="1:2" x14ac:dyDescent="0.3">
      <c r="B6689" t="s">
        <v>72</v>
      </c>
    </row>
    <row r="6690" spans="1:2" x14ac:dyDescent="0.3">
      <c r="B6690" t="s">
        <v>72</v>
      </c>
    </row>
    <row r="6691" spans="1:2" x14ac:dyDescent="0.3">
      <c r="B6691" t="s">
        <v>72</v>
      </c>
    </row>
    <row r="6692" spans="1:2" x14ac:dyDescent="0.3">
      <c r="A6692" t="s">
        <v>5483</v>
      </c>
      <c r="B6692" t="s">
        <v>1</v>
      </c>
    </row>
    <row r="6693" spans="1:2" x14ac:dyDescent="0.3">
      <c r="A6693" t="s">
        <v>1831</v>
      </c>
      <c r="B6693" t="s">
        <v>1</v>
      </c>
    </row>
    <row r="6694" spans="1:2" x14ac:dyDescent="0.3">
      <c r="B6694" t="s">
        <v>72</v>
      </c>
    </row>
    <row r="6695" spans="1:2" x14ac:dyDescent="0.3">
      <c r="B6695" t="s">
        <v>72</v>
      </c>
    </row>
    <row r="6696" spans="1:2" x14ac:dyDescent="0.3">
      <c r="A6696" t="s">
        <v>5484</v>
      </c>
      <c r="B6696" t="s">
        <v>1</v>
      </c>
    </row>
    <row r="6697" spans="1:2" x14ac:dyDescent="0.3">
      <c r="A6697" t="s">
        <v>5485</v>
      </c>
      <c r="B6697" t="s">
        <v>1</v>
      </c>
    </row>
    <row r="6698" spans="1:2" x14ac:dyDescent="0.3">
      <c r="B6698" t="s">
        <v>1</v>
      </c>
    </row>
    <row r="6699" spans="1:2" x14ac:dyDescent="0.3">
      <c r="B6699" t="s">
        <v>72</v>
      </c>
    </row>
    <row r="6700" spans="1:2" x14ac:dyDescent="0.3">
      <c r="A6700" t="s">
        <v>9</v>
      </c>
      <c r="B6700" t="s">
        <v>1</v>
      </c>
    </row>
    <row r="6701" spans="1:2" x14ac:dyDescent="0.3">
      <c r="B6701" t="s">
        <v>72</v>
      </c>
    </row>
    <row r="6702" spans="1:2" x14ac:dyDescent="0.3">
      <c r="A6702" t="s">
        <v>5486</v>
      </c>
      <c r="B6702" t="s">
        <v>1762</v>
      </c>
    </row>
    <row r="6703" spans="1:2" x14ac:dyDescent="0.3">
      <c r="B6703" t="s">
        <v>2324</v>
      </c>
    </row>
    <row r="6704" spans="1:2" x14ac:dyDescent="0.3">
      <c r="B6704" t="s">
        <v>2324</v>
      </c>
    </row>
    <row r="6705" spans="1:2" x14ac:dyDescent="0.3">
      <c r="A6705" t="s">
        <v>5487</v>
      </c>
      <c r="B6705" t="s">
        <v>896</v>
      </c>
    </row>
    <row r="6706" spans="1:2" x14ac:dyDescent="0.3">
      <c r="B6706" t="s">
        <v>921</v>
      </c>
    </row>
    <row r="6707" spans="1:2" x14ac:dyDescent="0.3">
      <c r="B6707" t="s">
        <v>1</v>
      </c>
    </row>
    <row r="6708" spans="1:2" x14ac:dyDescent="0.3">
      <c r="B6708" t="s">
        <v>1</v>
      </c>
    </row>
    <row r="6709" spans="1:2" x14ac:dyDescent="0.3">
      <c r="B6709" t="s">
        <v>1</v>
      </c>
    </row>
    <row r="6710" spans="1:2" x14ac:dyDescent="0.3">
      <c r="B6710" t="s">
        <v>1</v>
      </c>
    </row>
    <row r="6711" spans="1:2" x14ac:dyDescent="0.3">
      <c r="B6711" t="s">
        <v>1</v>
      </c>
    </row>
    <row r="6712" spans="1:2" x14ac:dyDescent="0.3">
      <c r="B6712" t="s">
        <v>1</v>
      </c>
    </row>
    <row r="6713" spans="1:2" x14ac:dyDescent="0.3">
      <c r="B6713" t="s">
        <v>1</v>
      </c>
    </row>
    <row r="6714" spans="1:2" x14ac:dyDescent="0.3">
      <c r="B6714" t="s">
        <v>1</v>
      </c>
    </row>
    <row r="6715" spans="1:2" x14ac:dyDescent="0.3">
      <c r="B6715" t="s">
        <v>1</v>
      </c>
    </row>
    <row r="6716" spans="1:2" x14ac:dyDescent="0.3">
      <c r="B6716" t="s">
        <v>1</v>
      </c>
    </row>
    <row r="6717" spans="1:2" x14ac:dyDescent="0.3">
      <c r="A6717" t="s">
        <v>5488</v>
      </c>
      <c r="B6717" t="s">
        <v>1</v>
      </c>
    </row>
    <row r="6718" spans="1:2" x14ac:dyDescent="0.3">
      <c r="B6718" t="s">
        <v>1</v>
      </c>
    </row>
    <row r="6719" spans="1:2" x14ac:dyDescent="0.3">
      <c r="B6719" t="s">
        <v>1762</v>
      </c>
    </row>
    <row r="6720" spans="1:2" x14ac:dyDescent="0.3">
      <c r="A6720" t="s">
        <v>5489</v>
      </c>
      <c r="B6720" t="s">
        <v>1762</v>
      </c>
    </row>
    <row r="6721" spans="1:2" x14ac:dyDescent="0.3">
      <c r="A6721" t="s">
        <v>5490</v>
      </c>
      <c r="B6721" t="s">
        <v>172</v>
      </c>
    </row>
    <row r="6722" spans="1:2" x14ac:dyDescent="0.3">
      <c r="A6722" t="s">
        <v>5491</v>
      </c>
      <c r="B6722" t="s">
        <v>3338</v>
      </c>
    </row>
    <row r="6723" spans="1:2" x14ac:dyDescent="0.3">
      <c r="A6723" t="s">
        <v>5492</v>
      </c>
      <c r="B6723" t="s">
        <v>172</v>
      </c>
    </row>
    <row r="6724" spans="1:2" x14ac:dyDescent="0.3">
      <c r="B6724" t="s">
        <v>172</v>
      </c>
    </row>
    <row r="6725" spans="1:2" x14ac:dyDescent="0.3">
      <c r="B6725" t="s">
        <v>172</v>
      </c>
    </row>
    <row r="6726" spans="1:2" x14ac:dyDescent="0.3">
      <c r="A6726" t="s">
        <v>5493</v>
      </c>
      <c r="B6726" t="s">
        <v>182</v>
      </c>
    </row>
    <row r="6727" spans="1:2" x14ac:dyDescent="0.3">
      <c r="B6727" t="s">
        <v>1450</v>
      </c>
    </row>
    <row r="6728" spans="1:2" x14ac:dyDescent="0.3">
      <c r="B6728" t="s">
        <v>1450</v>
      </c>
    </row>
    <row r="6729" spans="1:2" x14ac:dyDescent="0.3">
      <c r="A6729" t="s">
        <v>5494</v>
      </c>
      <c r="B6729" t="s">
        <v>1450</v>
      </c>
    </row>
    <row r="6730" spans="1:2" x14ac:dyDescent="0.3">
      <c r="B6730" t="s">
        <v>166</v>
      </c>
    </row>
    <row r="6731" spans="1:2" x14ac:dyDescent="0.3">
      <c r="B6731" t="s">
        <v>1450</v>
      </c>
    </row>
    <row r="6732" spans="1:2" x14ac:dyDescent="0.3">
      <c r="A6732" t="s">
        <v>5495</v>
      </c>
      <c r="B6732" t="s">
        <v>1450</v>
      </c>
    </row>
    <row r="6733" spans="1:2" x14ac:dyDescent="0.3">
      <c r="B6733" t="s">
        <v>249</v>
      </c>
    </row>
    <row r="6734" spans="1:2" x14ac:dyDescent="0.3">
      <c r="B6734" t="s">
        <v>249</v>
      </c>
    </row>
    <row r="6735" spans="1:2" x14ac:dyDescent="0.3">
      <c r="B6735" t="s">
        <v>1</v>
      </c>
    </row>
    <row r="6736" spans="1:2" x14ac:dyDescent="0.3">
      <c r="A6736" t="s">
        <v>5496</v>
      </c>
      <c r="B6736" t="s">
        <v>1</v>
      </c>
    </row>
    <row r="6737" spans="1:2" x14ac:dyDescent="0.3">
      <c r="A6737" t="s">
        <v>5497</v>
      </c>
      <c r="B6737" t="s">
        <v>1</v>
      </c>
    </row>
    <row r="6738" spans="1:2" x14ac:dyDescent="0.3">
      <c r="B6738" t="s">
        <v>72</v>
      </c>
    </row>
    <row r="6739" spans="1:2" x14ac:dyDescent="0.3">
      <c r="B6739" t="s">
        <v>754</v>
      </c>
    </row>
    <row r="6740" spans="1:2" x14ac:dyDescent="0.3">
      <c r="B6740" t="s">
        <v>170</v>
      </c>
    </row>
    <row r="6741" spans="1:2" x14ac:dyDescent="0.3">
      <c r="B6741" t="s">
        <v>170</v>
      </c>
    </row>
    <row r="6742" spans="1:2" x14ac:dyDescent="0.3">
      <c r="B6742" t="s">
        <v>170</v>
      </c>
    </row>
    <row r="6743" spans="1:2" x14ac:dyDescent="0.3">
      <c r="A6743" t="s">
        <v>5498</v>
      </c>
      <c r="B6743" t="s">
        <v>1</v>
      </c>
    </row>
    <row r="6744" spans="1:2" x14ac:dyDescent="0.3">
      <c r="A6744" t="s">
        <v>5499</v>
      </c>
      <c r="B6744" t="s">
        <v>1</v>
      </c>
    </row>
    <row r="6745" spans="1:2" x14ac:dyDescent="0.3">
      <c r="A6745" t="s">
        <v>5500</v>
      </c>
      <c r="B6745" t="s">
        <v>1</v>
      </c>
    </row>
    <row r="6746" spans="1:2" x14ac:dyDescent="0.3">
      <c r="A6746" t="s">
        <v>5501</v>
      </c>
      <c r="B6746" t="s">
        <v>1</v>
      </c>
    </row>
    <row r="6747" spans="1:2" x14ac:dyDescent="0.3">
      <c r="A6747" t="s">
        <v>5502</v>
      </c>
      <c r="B6747" t="s">
        <v>1</v>
      </c>
    </row>
    <row r="6748" spans="1:2" x14ac:dyDescent="0.3">
      <c r="A6748" t="s">
        <v>5503</v>
      </c>
      <c r="B6748" t="s">
        <v>172</v>
      </c>
    </row>
    <row r="6749" spans="1:2" x14ac:dyDescent="0.3">
      <c r="A6749" t="s">
        <v>5504</v>
      </c>
      <c r="B6749" t="s">
        <v>1</v>
      </c>
    </row>
    <row r="6750" spans="1:2" x14ac:dyDescent="0.3">
      <c r="A6750" t="s">
        <v>5505</v>
      </c>
      <c r="B6750" t="s">
        <v>172</v>
      </c>
    </row>
    <row r="6751" spans="1:2" x14ac:dyDescent="0.3">
      <c r="B6751" t="s">
        <v>102</v>
      </c>
    </row>
    <row r="6752" spans="1:2" x14ac:dyDescent="0.3">
      <c r="B6752" t="s">
        <v>263</v>
      </c>
    </row>
    <row r="6753" spans="1:2" x14ac:dyDescent="0.3">
      <c r="A6753" t="s">
        <v>5506</v>
      </c>
      <c r="B6753" t="s">
        <v>182</v>
      </c>
    </row>
    <row r="6754" spans="1:2" x14ac:dyDescent="0.3">
      <c r="B6754" t="s">
        <v>1450</v>
      </c>
    </row>
    <row r="6755" spans="1:2" x14ac:dyDescent="0.3">
      <c r="A6755" t="s">
        <v>5507</v>
      </c>
      <c r="B6755" t="s">
        <v>1</v>
      </c>
    </row>
    <row r="6756" spans="1:2" x14ac:dyDescent="0.3">
      <c r="A6756" t="s">
        <v>5508</v>
      </c>
      <c r="B6756" t="s">
        <v>1450</v>
      </c>
    </row>
    <row r="6757" spans="1:2" x14ac:dyDescent="0.3">
      <c r="A6757" t="s">
        <v>5509</v>
      </c>
      <c r="B6757" t="s">
        <v>1450</v>
      </c>
    </row>
    <row r="6758" spans="1:2" x14ac:dyDescent="0.3">
      <c r="B6758" t="s">
        <v>1751</v>
      </c>
    </row>
    <row r="6759" spans="1:2" x14ac:dyDescent="0.3">
      <c r="B6759" t="s">
        <v>1751</v>
      </c>
    </row>
    <row r="6760" spans="1:2" x14ac:dyDescent="0.3">
      <c r="A6760" t="s">
        <v>5510</v>
      </c>
      <c r="B6760" t="s">
        <v>1</v>
      </c>
    </row>
    <row r="6761" spans="1:2" x14ac:dyDescent="0.3">
      <c r="A6761" t="s">
        <v>5511</v>
      </c>
      <c r="B6761" t="s">
        <v>1</v>
      </c>
    </row>
    <row r="6762" spans="1:2" x14ac:dyDescent="0.3">
      <c r="B6762" t="s">
        <v>165</v>
      </c>
    </row>
    <row r="6763" spans="1:2" x14ac:dyDescent="0.3">
      <c r="B6763" t="s">
        <v>165</v>
      </c>
    </row>
    <row r="6764" spans="1:2" x14ac:dyDescent="0.3">
      <c r="A6764" t="s">
        <v>5512</v>
      </c>
      <c r="B6764" t="s">
        <v>1</v>
      </c>
    </row>
    <row r="6765" spans="1:2" x14ac:dyDescent="0.3">
      <c r="B6765" t="s">
        <v>2324</v>
      </c>
    </row>
    <row r="6766" spans="1:2" x14ac:dyDescent="0.3">
      <c r="A6766" t="s">
        <v>5513</v>
      </c>
      <c r="B6766" t="s">
        <v>166</v>
      </c>
    </row>
    <row r="6767" spans="1:2" x14ac:dyDescent="0.3">
      <c r="A6767" t="s">
        <v>5514</v>
      </c>
      <c r="B6767" t="s">
        <v>1</v>
      </c>
    </row>
    <row r="6768" spans="1:2" x14ac:dyDescent="0.3">
      <c r="A6768" t="s">
        <v>5515</v>
      </c>
      <c r="B6768" t="s">
        <v>1</v>
      </c>
    </row>
    <row r="6769" spans="1:2" x14ac:dyDescent="0.3">
      <c r="B6769" t="s">
        <v>1</v>
      </c>
    </row>
    <row r="6770" spans="1:2" x14ac:dyDescent="0.3">
      <c r="B6770" t="s">
        <v>1</v>
      </c>
    </row>
    <row r="6771" spans="1:2" x14ac:dyDescent="0.3">
      <c r="A6771">
        <v>369</v>
      </c>
      <c r="B6771" t="s">
        <v>1</v>
      </c>
    </row>
    <row r="6772" spans="1:2" x14ac:dyDescent="0.3">
      <c r="A6772" t="s">
        <v>5516</v>
      </c>
      <c r="B6772" t="s">
        <v>1</v>
      </c>
    </row>
    <row r="6773" spans="1:2" x14ac:dyDescent="0.3">
      <c r="A6773" t="s">
        <v>5517</v>
      </c>
      <c r="B6773" t="s">
        <v>1</v>
      </c>
    </row>
    <row r="6774" spans="1:2" x14ac:dyDescent="0.3">
      <c r="A6774" t="s">
        <v>5518</v>
      </c>
      <c r="B6774" t="s">
        <v>1</v>
      </c>
    </row>
    <row r="6775" spans="1:2" x14ac:dyDescent="0.3">
      <c r="A6775" t="s">
        <v>5519</v>
      </c>
      <c r="B6775" t="s">
        <v>1</v>
      </c>
    </row>
    <row r="6776" spans="1:2" x14ac:dyDescent="0.3">
      <c r="A6776" t="s">
        <v>5520</v>
      </c>
      <c r="B6776" t="s">
        <v>1</v>
      </c>
    </row>
    <row r="6777" spans="1:2" x14ac:dyDescent="0.3">
      <c r="A6777" t="s">
        <v>5521</v>
      </c>
      <c r="B6777" t="s">
        <v>258</v>
      </c>
    </row>
    <row r="6778" spans="1:2" x14ac:dyDescent="0.3">
      <c r="A6778" t="s">
        <v>5522</v>
      </c>
      <c r="B6778" t="s">
        <v>258</v>
      </c>
    </row>
    <row r="6779" spans="1:2" x14ac:dyDescent="0.3">
      <c r="A6779" t="s">
        <v>5523</v>
      </c>
      <c r="B6779" t="s">
        <v>258</v>
      </c>
    </row>
    <row r="6780" spans="1:2" x14ac:dyDescent="0.3">
      <c r="A6780" t="s">
        <v>5524</v>
      </c>
      <c r="B6780" t="s">
        <v>258</v>
      </c>
    </row>
    <row r="6781" spans="1:2" x14ac:dyDescent="0.3">
      <c r="A6781" t="s">
        <v>5525</v>
      </c>
      <c r="B6781" t="s">
        <v>292</v>
      </c>
    </row>
    <row r="6782" spans="1:2" x14ac:dyDescent="0.3">
      <c r="A6782" t="s">
        <v>5526</v>
      </c>
      <c r="B6782" t="s">
        <v>2353</v>
      </c>
    </row>
    <row r="6783" spans="1:2" x14ac:dyDescent="0.3">
      <c r="B6783" t="s">
        <v>200</v>
      </c>
    </row>
    <row r="6784" spans="1:2" x14ac:dyDescent="0.3">
      <c r="B6784" t="s">
        <v>200</v>
      </c>
    </row>
    <row r="6785" spans="1:2" x14ac:dyDescent="0.3">
      <c r="B6785" t="s">
        <v>200</v>
      </c>
    </row>
    <row r="6786" spans="1:2" x14ac:dyDescent="0.3">
      <c r="B6786" t="s">
        <v>174</v>
      </c>
    </row>
    <row r="6787" spans="1:2" x14ac:dyDescent="0.3">
      <c r="A6787" t="s">
        <v>5527</v>
      </c>
      <c r="B6787" t="s">
        <v>2</v>
      </c>
    </row>
    <row r="6788" spans="1:2" x14ac:dyDescent="0.3">
      <c r="A6788" t="s">
        <v>5528</v>
      </c>
      <c r="B6788" t="s">
        <v>1</v>
      </c>
    </row>
    <row r="6789" spans="1:2" x14ac:dyDescent="0.3">
      <c r="B6789" t="s">
        <v>172</v>
      </c>
    </row>
    <row r="6790" spans="1:2" x14ac:dyDescent="0.3">
      <c r="A6790" t="s">
        <v>5529</v>
      </c>
      <c r="B6790" t="s">
        <v>172</v>
      </c>
    </row>
    <row r="6791" spans="1:2" x14ac:dyDescent="0.3">
      <c r="A6791" t="s">
        <v>5530</v>
      </c>
      <c r="B6791" t="s">
        <v>172</v>
      </c>
    </row>
    <row r="6792" spans="1:2" x14ac:dyDescent="0.3">
      <c r="A6792" t="s">
        <v>5531</v>
      </c>
      <c r="B6792" t="s">
        <v>1</v>
      </c>
    </row>
    <row r="6793" spans="1:2" x14ac:dyDescent="0.3">
      <c r="A6793" t="s">
        <v>5532</v>
      </c>
      <c r="B6793" t="s">
        <v>1</v>
      </c>
    </row>
    <row r="6794" spans="1:2" x14ac:dyDescent="0.3">
      <c r="A6794" t="s">
        <v>5533</v>
      </c>
      <c r="B6794" t="s">
        <v>1</v>
      </c>
    </row>
    <row r="6795" spans="1:2" x14ac:dyDescent="0.3">
      <c r="A6795" t="s">
        <v>5534</v>
      </c>
      <c r="B6795" t="s">
        <v>1</v>
      </c>
    </row>
    <row r="6796" spans="1:2" x14ac:dyDescent="0.3">
      <c r="A6796" t="s">
        <v>5535</v>
      </c>
      <c r="B6796" t="s">
        <v>172</v>
      </c>
    </row>
    <row r="6797" spans="1:2" x14ac:dyDescent="0.3">
      <c r="B6797" t="s">
        <v>172</v>
      </c>
    </row>
    <row r="6798" spans="1:2" x14ac:dyDescent="0.3">
      <c r="A6798" t="s">
        <v>5536</v>
      </c>
      <c r="B6798" t="s">
        <v>172</v>
      </c>
    </row>
    <row r="6799" spans="1:2" x14ac:dyDescent="0.3">
      <c r="B6799" t="s">
        <v>172</v>
      </c>
    </row>
    <row r="6800" spans="1:2" x14ac:dyDescent="0.3">
      <c r="A6800" t="s">
        <v>5537</v>
      </c>
      <c r="B6800" t="s">
        <v>280</v>
      </c>
    </row>
    <row r="6801" spans="1:2" x14ac:dyDescent="0.3">
      <c r="B6801" t="s">
        <v>2222</v>
      </c>
    </row>
    <row r="6802" spans="1:2" x14ac:dyDescent="0.3">
      <c r="A6802" t="s">
        <v>5538</v>
      </c>
      <c r="B6802" t="s">
        <v>2222</v>
      </c>
    </row>
    <row r="6803" spans="1:2" x14ac:dyDescent="0.3">
      <c r="A6803" t="s">
        <v>5539</v>
      </c>
      <c r="B6803" t="s">
        <v>2222</v>
      </c>
    </row>
    <row r="6804" spans="1:2" x14ac:dyDescent="0.3">
      <c r="A6804" t="s">
        <v>5540</v>
      </c>
      <c r="B6804" t="s">
        <v>2220</v>
      </c>
    </row>
    <row r="6805" spans="1:2" x14ac:dyDescent="0.3">
      <c r="A6805" t="s">
        <v>5541</v>
      </c>
      <c r="B6805" t="s">
        <v>2220</v>
      </c>
    </row>
    <row r="6806" spans="1:2" x14ac:dyDescent="0.3">
      <c r="A6806" t="s">
        <v>5542</v>
      </c>
      <c r="B6806" t="s">
        <v>176</v>
      </c>
    </row>
    <row r="6807" spans="1:2" x14ac:dyDescent="0.3">
      <c r="A6807" t="s">
        <v>5543</v>
      </c>
      <c r="B6807" t="s">
        <v>173</v>
      </c>
    </row>
    <row r="6808" spans="1:2" x14ac:dyDescent="0.3">
      <c r="A6808" t="s">
        <v>5544</v>
      </c>
      <c r="B6808" t="s">
        <v>164</v>
      </c>
    </row>
    <row r="6809" spans="1:2" x14ac:dyDescent="0.3">
      <c r="A6809" t="s">
        <v>5545</v>
      </c>
      <c r="B6809" t="s">
        <v>1779</v>
      </c>
    </row>
    <row r="6810" spans="1:2" x14ac:dyDescent="0.3">
      <c r="A6810" t="s">
        <v>5546</v>
      </c>
      <c r="B6810" t="s">
        <v>182</v>
      </c>
    </row>
    <row r="6811" spans="1:2" x14ac:dyDescent="0.3">
      <c r="A6811" t="s">
        <v>5547</v>
      </c>
      <c r="B6811" t="s">
        <v>182</v>
      </c>
    </row>
    <row r="6812" spans="1:2" x14ac:dyDescent="0.3">
      <c r="A6812" t="s">
        <v>5548</v>
      </c>
      <c r="B6812" t="s">
        <v>182</v>
      </c>
    </row>
    <row r="6813" spans="1:2" x14ac:dyDescent="0.3">
      <c r="A6813" t="s">
        <v>5549</v>
      </c>
      <c r="B6813" t="s">
        <v>182</v>
      </c>
    </row>
    <row r="6814" spans="1:2" x14ac:dyDescent="0.3">
      <c r="A6814" t="s">
        <v>5550</v>
      </c>
      <c r="B6814" t="s">
        <v>182</v>
      </c>
    </row>
    <row r="6815" spans="1:2" x14ac:dyDescent="0.3">
      <c r="A6815" t="s">
        <v>5551</v>
      </c>
      <c r="B6815" t="s">
        <v>182</v>
      </c>
    </row>
    <row r="6816" spans="1:2" x14ac:dyDescent="0.3">
      <c r="A6816" t="s">
        <v>5552</v>
      </c>
      <c r="B6816" t="s">
        <v>182</v>
      </c>
    </row>
    <row r="6817" spans="1:2" x14ac:dyDescent="0.3">
      <c r="A6817" t="s">
        <v>5553</v>
      </c>
      <c r="B6817" t="s">
        <v>182</v>
      </c>
    </row>
    <row r="6818" spans="1:2" x14ac:dyDescent="0.3">
      <c r="A6818" t="s">
        <v>901</v>
      </c>
      <c r="B6818" t="s">
        <v>182</v>
      </c>
    </row>
    <row r="6819" spans="1:2" x14ac:dyDescent="0.3">
      <c r="B6819" t="s">
        <v>182</v>
      </c>
    </row>
    <row r="6820" spans="1:2" x14ac:dyDescent="0.3">
      <c r="A6820" t="s">
        <v>5554</v>
      </c>
      <c r="B6820" t="s">
        <v>182</v>
      </c>
    </row>
    <row r="6821" spans="1:2" x14ac:dyDescent="0.3">
      <c r="A6821" t="s">
        <v>5555</v>
      </c>
      <c r="B6821" t="s">
        <v>182</v>
      </c>
    </row>
    <row r="6822" spans="1:2" x14ac:dyDescent="0.3">
      <c r="A6822" t="s">
        <v>5556</v>
      </c>
      <c r="B6822" t="s">
        <v>182</v>
      </c>
    </row>
    <row r="6823" spans="1:2" x14ac:dyDescent="0.3">
      <c r="A6823" t="s">
        <v>5557</v>
      </c>
      <c r="B6823" t="s">
        <v>182</v>
      </c>
    </row>
    <row r="6824" spans="1:2" x14ac:dyDescent="0.3">
      <c r="A6824" t="s">
        <v>5558</v>
      </c>
      <c r="B6824" t="s">
        <v>1</v>
      </c>
    </row>
    <row r="6825" spans="1:2" x14ac:dyDescent="0.3">
      <c r="A6825" t="s">
        <v>5559</v>
      </c>
      <c r="B6825" t="s">
        <v>1</v>
      </c>
    </row>
    <row r="6826" spans="1:2" x14ac:dyDescent="0.3">
      <c r="A6826" t="s">
        <v>5560</v>
      </c>
      <c r="B6826" t="s">
        <v>182</v>
      </c>
    </row>
    <row r="6827" spans="1:2" x14ac:dyDescent="0.3">
      <c r="A6827" t="s">
        <v>5561</v>
      </c>
      <c r="B6827" t="s">
        <v>182</v>
      </c>
    </row>
    <row r="6828" spans="1:2" x14ac:dyDescent="0.3">
      <c r="A6828" t="s">
        <v>5562</v>
      </c>
      <c r="B6828" t="s">
        <v>182</v>
      </c>
    </row>
    <row r="6829" spans="1:2" x14ac:dyDescent="0.3">
      <c r="A6829" t="s">
        <v>5563</v>
      </c>
      <c r="B6829" t="s">
        <v>182</v>
      </c>
    </row>
    <row r="6830" spans="1:2" x14ac:dyDescent="0.3">
      <c r="A6830" t="s">
        <v>5564</v>
      </c>
      <c r="B6830" t="s">
        <v>182</v>
      </c>
    </row>
    <row r="6831" spans="1:2" x14ac:dyDescent="0.3">
      <c r="A6831" t="s">
        <v>5565</v>
      </c>
      <c r="B6831" t="s">
        <v>182</v>
      </c>
    </row>
    <row r="6832" spans="1:2" x14ac:dyDescent="0.3">
      <c r="A6832" t="s">
        <v>5566</v>
      </c>
      <c r="B6832" t="s">
        <v>182</v>
      </c>
    </row>
    <row r="6833" spans="1:2" x14ac:dyDescent="0.3">
      <c r="A6833" t="s">
        <v>50</v>
      </c>
      <c r="B6833" t="s">
        <v>182</v>
      </c>
    </row>
    <row r="6834" spans="1:2" x14ac:dyDescent="0.3">
      <c r="B6834" t="s">
        <v>181</v>
      </c>
    </row>
    <row r="6835" spans="1:2" x14ac:dyDescent="0.3">
      <c r="B6835" t="s">
        <v>181</v>
      </c>
    </row>
    <row r="6836" spans="1:2" x14ac:dyDescent="0.3">
      <c r="B6836" t="s">
        <v>2469</v>
      </c>
    </row>
    <row r="6837" spans="1:2" x14ac:dyDescent="0.3">
      <c r="B6837" t="s">
        <v>2469</v>
      </c>
    </row>
    <row r="6838" spans="1:2" x14ac:dyDescent="0.3">
      <c r="A6838" t="s">
        <v>5567</v>
      </c>
      <c r="B6838" t="s">
        <v>171</v>
      </c>
    </row>
    <row r="6839" spans="1:2" x14ac:dyDescent="0.3">
      <c r="A6839" t="s">
        <v>5568</v>
      </c>
      <c r="B6839" t="s">
        <v>103</v>
      </c>
    </row>
    <row r="6840" spans="1:2" x14ac:dyDescent="0.3">
      <c r="B6840" t="s">
        <v>1762</v>
      </c>
    </row>
    <row r="6841" spans="1:2" x14ac:dyDescent="0.3">
      <c r="A6841" t="s">
        <v>5569</v>
      </c>
      <c r="B6841" t="s">
        <v>1</v>
      </c>
    </row>
    <row r="6842" spans="1:2" x14ac:dyDescent="0.3">
      <c r="A6842" t="s">
        <v>5570</v>
      </c>
      <c r="B6842" t="s">
        <v>170</v>
      </c>
    </row>
    <row r="6843" spans="1:2" x14ac:dyDescent="0.3">
      <c r="B6843" t="s">
        <v>170</v>
      </c>
    </row>
    <row r="6844" spans="1:2" x14ac:dyDescent="0.3">
      <c r="B6844" t="s">
        <v>170</v>
      </c>
    </row>
    <row r="6845" spans="1:2" x14ac:dyDescent="0.3">
      <c r="A6845" t="s">
        <v>5571</v>
      </c>
      <c r="B6845" t="s">
        <v>170</v>
      </c>
    </row>
    <row r="6846" spans="1:2" x14ac:dyDescent="0.3">
      <c r="A6846" t="s">
        <v>5572</v>
      </c>
      <c r="B6846" t="s">
        <v>1</v>
      </c>
    </row>
    <row r="6847" spans="1:2" x14ac:dyDescent="0.3">
      <c r="A6847" t="s">
        <v>5573</v>
      </c>
      <c r="B6847" t="s">
        <v>1</v>
      </c>
    </row>
    <row r="6848" spans="1:2" x14ac:dyDescent="0.3">
      <c r="A6848" t="s">
        <v>5574</v>
      </c>
      <c r="B6848" t="s">
        <v>1</v>
      </c>
    </row>
    <row r="6849" spans="1:2" x14ac:dyDescent="0.3">
      <c r="A6849" t="s">
        <v>5575</v>
      </c>
      <c r="B6849" t="s">
        <v>1</v>
      </c>
    </row>
    <row r="6850" spans="1:2" x14ac:dyDescent="0.3">
      <c r="A6850" t="s">
        <v>5576</v>
      </c>
      <c r="B6850" t="s">
        <v>1</v>
      </c>
    </row>
    <row r="6851" spans="1:2" x14ac:dyDescent="0.3">
      <c r="A6851" t="s">
        <v>5577</v>
      </c>
      <c r="B6851" t="s">
        <v>1</v>
      </c>
    </row>
    <row r="6852" spans="1:2" x14ac:dyDescent="0.3">
      <c r="A6852" t="s">
        <v>5578</v>
      </c>
      <c r="B6852" t="s">
        <v>1</v>
      </c>
    </row>
    <row r="6853" spans="1:2" x14ac:dyDescent="0.3">
      <c r="A6853" t="s">
        <v>5579</v>
      </c>
      <c r="B6853" t="s">
        <v>1</v>
      </c>
    </row>
    <row r="6854" spans="1:2" x14ac:dyDescent="0.3">
      <c r="A6854" t="s">
        <v>5580</v>
      </c>
      <c r="B6854" t="s">
        <v>1</v>
      </c>
    </row>
    <row r="6855" spans="1:2" x14ac:dyDescent="0.3">
      <c r="A6855" t="s">
        <v>5581</v>
      </c>
      <c r="B6855" t="s">
        <v>1</v>
      </c>
    </row>
    <row r="6856" spans="1:2" x14ac:dyDescent="0.3">
      <c r="A6856" t="s">
        <v>5582</v>
      </c>
      <c r="B6856" t="s">
        <v>1</v>
      </c>
    </row>
    <row r="6857" spans="1:2" x14ac:dyDescent="0.3">
      <c r="A6857" t="s">
        <v>5583</v>
      </c>
      <c r="B6857" t="s">
        <v>1</v>
      </c>
    </row>
    <row r="6858" spans="1:2" x14ac:dyDescent="0.3">
      <c r="A6858" t="s">
        <v>5584</v>
      </c>
      <c r="B6858" t="s">
        <v>1</v>
      </c>
    </row>
    <row r="6859" spans="1:2" x14ac:dyDescent="0.3">
      <c r="A6859" t="s">
        <v>5585</v>
      </c>
      <c r="B6859" t="s">
        <v>1</v>
      </c>
    </row>
    <row r="6860" spans="1:2" x14ac:dyDescent="0.3">
      <c r="A6860" t="s">
        <v>5586</v>
      </c>
      <c r="B6860" t="s">
        <v>1</v>
      </c>
    </row>
    <row r="6861" spans="1:2" x14ac:dyDescent="0.3">
      <c r="A6861" t="s">
        <v>5587</v>
      </c>
      <c r="B6861" t="s">
        <v>1</v>
      </c>
    </row>
    <row r="6862" spans="1:2" x14ac:dyDescent="0.3">
      <c r="A6862" t="s">
        <v>5588</v>
      </c>
      <c r="B6862" t="s">
        <v>1</v>
      </c>
    </row>
    <row r="6863" spans="1:2" x14ac:dyDescent="0.3">
      <c r="A6863" t="s">
        <v>5589</v>
      </c>
      <c r="B6863" t="s">
        <v>1</v>
      </c>
    </row>
    <row r="6864" spans="1:2" x14ac:dyDescent="0.3">
      <c r="B6864" t="s">
        <v>1</v>
      </c>
    </row>
    <row r="6865" spans="1:2" x14ac:dyDescent="0.3">
      <c r="A6865" t="s">
        <v>5590</v>
      </c>
      <c r="B6865" t="s">
        <v>1</v>
      </c>
    </row>
    <row r="6866" spans="1:2" x14ac:dyDescent="0.3">
      <c r="A6866" t="s">
        <v>5591</v>
      </c>
      <c r="B6866" t="s">
        <v>1</v>
      </c>
    </row>
    <row r="6867" spans="1:2" x14ac:dyDescent="0.3">
      <c r="A6867" t="s">
        <v>5592</v>
      </c>
      <c r="B6867" t="s">
        <v>1</v>
      </c>
    </row>
    <row r="6868" spans="1:2" x14ac:dyDescent="0.3">
      <c r="A6868" t="s">
        <v>5593</v>
      </c>
      <c r="B6868" t="s">
        <v>1</v>
      </c>
    </row>
    <row r="6869" spans="1:2" x14ac:dyDescent="0.3">
      <c r="A6869" t="s">
        <v>5594</v>
      </c>
      <c r="B6869" t="s">
        <v>1</v>
      </c>
    </row>
    <row r="6870" spans="1:2" x14ac:dyDescent="0.3">
      <c r="A6870" t="s">
        <v>5595</v>
      </c>
      <c r="B6870" t="s">
        <v>1</v>
      </c>
    </row>
    <row r="6871" spans="1:2" x14ac:dyDescent="0.3">
      <c r="A6871" t="s">
        <v>5596</v>
      </c>
      <c r="B6871" t="s">
        <v>1</v>
      </c>
    </row>
    <row r="6872" spans="1:2" x14ac:dyDescent="0.3">
      <c r="A6872" t="s">
        <v>5597</v>
      </c>
      <c r="B6872" t="s">
        <v>1</v>
      </c>
    </row>
    <row r="6873" spans="1:2" x14ac:dyDescent="0.3">
      <c r="A6873" t="s">
        <v>5598</v>
      </c>
      <c r="B6873" t="s">
        <v>1</v>
      </c>
    </row>
    <row r="6874" spans="1:2" x14ac:dyDescent="0.3">
      <c r="A6874" t="s">
        <v>5599</v>
      </c>
      <c r="B6874" t="s">
        <v>1</v>
      </c>
    </row>
    <row r="6875" spans="1:2" x14ac:dyDescent="0.3">
      <c r="A6875" t="s">
        <v>5600</v>
      </c>
      <c r="B6875" t="s">
        <v>1</v>
      </c>
    </row>
    <row r="6876" spans="1:2" x14ac:dyDescent="0.3">
      <c r="A6876" t="s">
        <v>5601</v>
      </c>
      <c r="B6876" t="s">
        <v>1</v>
      </c>
    </row>
    <row r="6877" spans="1:2" x14ac:dyDescent="0.3">
      <c r="A6877" t="s">
        <v>5602</v>
      </c>
      <c r="B6877" t="s">
        <v>1</v>
      </c>
    </row>
    <row r="6878" spans="1:2" x14ac:dyDescent="0.3">
      <c r="A6878" t="s">
        <v>5603</v>
      </c>
      <c r="B6878" t="s">
        <v>1</v>
      </c>
    </row>
    <row r="6879" spans="1:2" x14ac:dyDescent="0.3">
      <c r="A6879" t="s">
        <v>5604</v>
      </c>
      <c r="B6879" t="s">
        <v>1</v>
      </c>
    </row>
    <row r="6880" spans="1:2" x14ac:dyDescent="0.3">
      <c r="A6880" t="s">
        <v>5605</v>
      </c>
      <c r="B6880" t="s">
        <v>1</v>
      </c>
    </row>
    <row r="6881" spans="1:2" x14ac:dyDescent="0.3">
      <c r="A6881" t="s">
        <v>5606</v>
      </c>
      <c r="B6881" t="s">
        <v>1</v>
      </c>
    </row>
    <row r="6882" spans="1:2" x14ac:dyDescent="0.3">
      <c r="B6882" t="s">
        <v>1</v>
      </c>
    </row>
    <row r="6883" spans="1:2" x14ac:dyDescent="0.3">
      <c r="A6883" t="s">
        <v>5607</v>
      </c>
      <c r="B6883" t="s">
        <v>1</v>
      </c>
    </row>
    <row r="6884" spans="1:2" x14ac:dyDescent="0.3">
      <c r="A6884" t="s">
        <v>5608</v>
      </c>
      <c r="B6884" t="s">
        <v>1</v>
      </c>
    </row>
    <row r="6885" spans="1:2" x14ac:dyDescent="0.3">
      <c r="A6885" t="s">
        <v>5609</v>
      </c>
      <c r="B6885" t="s">
        <v>1</v>
      </c>
    </row>
    <row r="6886" spans="1:2" x14ac:dyDescent="0.3">
      <c r="A6886" t="s">
        <v>5610</v>
      </c>
      <c r="B6886" t="s">
        <v>1</v>
      </c>
    </row>
    <row r="6887" spans="1:2" x14ac:dyDescent="0.3">
      <c r="A6887" t="s">
        <v>5611</v>
      </c>
      <c r="B6887" t="s">
        <v>1</v>
      </c>
    </row>
    <row r="6888" spans="1:2" x14ac:dyDescent="0.3">
      <c r="A6888" t="s">
        <v>5612</v>
      </c>
      <c r="B6888" t="s">
        <v>1</v>
      </c>
    </row>
    <row r="6889" spans="1:2" x14ac:dyDescent="0.3">
      <c r="A6889" t="s">
        <v>5613</v>
      </c>
      <c r="B6889" t="s">
        <v>1</v>
      </c>
    </row>
    <row r="6890" spans="1:2" x14ac:dyDescent="0.3">
      <c r="A6890" t="s">
        <v>5614</v>
      </c>
      <c r="B6890" t="s">
        <v>1</v>
      </c>
    </row>
    <row r="6891" spans="1:2" x14ac:dyDescent="0.3">
      <c r="A6891" t="s">
        <v>5615</v>
      </c>
      <c r="B6891" t="s">
        <v>1</v>
      </c>
    </row>
    <row r="6892" spans="1:2" x14ac:dyDescent="0.3">
      <c r="A6892" t="s">
        <v>5616</v>
      </c>
      <c r="B6892" t="s">
        <v>1</v>
      </c>
    </row>
    <row r="6893" spans="1:2" x14ac:dyDescent="0.3">
      <c r="A6893" t="s">
        <v>5617</v>
      </c>
      <c r="B6893" t="s">
        <v>1</v>
      </c>
    </row>
    <row r="6894" spans="1:2" x14ac:dyDescent="0.3">
      <c r="B6894" t="s">
        <v>1</v>
      </c>
    </row>
    <row r="6895" spans="1:2" x14ac:dyDescent="0.3">
      <c r="A6895" t="s">
        <v>5618</v>
      </c>
      <c r="B6895" t="s">
        <v>1</v>
      </c>
    </row>
    <row r="6896" spans="1:2" x14ac:dyDescent="0.3">
      <c r="B6896" t="s">
        <v>97</v>
      </c>
    </row>
    <row r="6897" spans="1:2" x14ac:dyDescent="0.3">
      <c r="B6897" t="s">
        <v>164</v>
      </c>
    </row>
    <row r="6898" spans="1:2" x14ac:dyDescent="0.3">
      <c r="B6898" t="s">
        <v>164</v>
      </c>
    </row>
    <row r="6899" spans="1:2" x14ac:dyDescent="0.3">
      <c r="B6899" t="s">
        <v>164</v>
      </c>
    </row>
    <row r="6900" spans="1:2" x14ac:dyDescent="0.3">
      <c r="B6900" t="s">
        <v>164</v>
      </c>
    </row>
    <row r="6901" spans="1:2" x14ac:dyDescent="0.3">
      <c r="A6901" t="s">
        <v>5619</v>
      </c>
      <c r="B6901" t="s">
        <v>2353</v>
      </c>
    </row>
    <row r="6902" spans="1:2" x14ac:dyDescent="0.3">
      <c r="B6902" t="s">
        <v>2</v>
      </c>
    </row>
    <row r="6903" spans="1:2" x14ac:dyDescent="0.3">
      <c r="B6903" t="s">
        <v>97</v>
      </c>
    </row>
    <row r="6904" spans="1:2" x14ac:dyDescent="0.3">
      <c r="B6904" t="s">
        <v>247</v>
      </c>
    </row>
    <row r="6905" spans="1:2" x14ac:dyDescent="0.3">
      <c r="A6905" t="s">
        <v>5620</v>
      </c>
      <c r="B6905" t="s">
        <v>247</v>
      </c>
    </row>
    <row r="6906" spans="1:2" x14ac:dyDescent="0.3">
      <c r="A6906" t="s">
        <v>5621</v>
      </c>
      <c r="B6906" t="s">
        <v>244</v>
      </c>
    </row>
    <row r="6907" spans="1:2" x14ac:dyDescent="0.3">
      <c r="A6907" t="s">
        <v>5622</v>
      </c>
      <c r="B6907" t="s">
        <v>249</v>
      </c>
    </row>
    <row r="6908" spans="1:2" x14ac:dyDescent="0.3">
      <c r="B6908" t="s">
        <v>261</v>
      </c>
    </row>
    <row r="6909" spans="1:2" x14ac:dyDescent="0.3">
      <c r="A6909" t="s">
        <v>5623</v>
      </c>
      <c r="B6909" t="s">
        <v>1059</v>
      </c>
    </row>
    <row r="6910" spans="1:2" x14ac:dyDescent="0.3">
      <c r="A6910" t="s">
        <v>5624</v>
      </c>
      <c r="B6910" t="s">
        <v>1059</v>
      </c>
    </row>
    <row r="6911" spans="1:2" x14ac:dyDescent="0.3">
      <c r="B6911" t="s">
        <v>2469</v>
      </c>
    </row>
    <row r="6912" spans="1:2" x14ac:dyDescent="0.3">
      <c r="A6912" t="s">
        <v>5625</v>
      </c>
      <c r="B6912" t="s">
        <v>1</v>
      </c>
    </row>
    <row r="6913" spans="1:2" x14ac:dyDescent="0.3">
      <c r="B6913" t="s">
        <v>166</v>
      </c>
    </row>
    <row r="6914" spans="1:2" x14ac:dyDescent="0.3">
      <c r="B6914" t="s">
        <v>166</v>
      </c>
    </row>
    <row r="6915" spans="1:2" x14ac:dyDescent="0.3">
      <c r="A6915" t="s">
        <v>5626</v>
      </c>
      <c r="B6915" t="s">
        <v>1</v>
      </c>
    </row>
    <row r="6916" spans="1:2" x14ac:dyDescent="0.3">
      <c r="A6916" t="s">
        <v>5627</v>
      </c>
      <c r="B6916" t="s">
        <v>1</v>
      </c>
    </row>
    <row r="6917" spans="1:2" x14ac:dyDescent="0.3">
      <c r="B6917" t="s">
        <v>166</v>
      </c>
    </row>
    <row r="6918" spans="1:2" x14ac:dyDescent="0.3">
      <c r="A6918" t="s">
        <v>5628</v>
      </c>
      <c r="B6918" t="s">
        <v>1</v>
      </c>
    </row>
    <row r="6919" spans="1:2" x14ac:dyDescent="0.3">
      <c r="A6919" t="s">
        <v>5629</v>
      </c>
      <c r="B6919" t="s">
        <v>896</v>
      </c>
    </row>
    <row r="6920" spans="1:2" x14ac:dyDescent="0.3">
      <c r="B6920" t="s">
        <v>203</v>
      </c>
    </row>
    <row r="6921" spans="1:2" x14ac:dyDescent="0.3">
      <c r="A6921" t="s">
        <v>5630</v>
      </c>
      <c r="B6921" t="s">
        <v>171</v>
      </c>
    </row>
    <row r="6922" spans="1:2" x14ac:dyDescent="0.3">
      <c r="B6922" t="s">
        <v>171</v>
      </c>
    </row>
    <row r="6923" spans="1:2" x14ac:dyDescent="0.3">
      <c r="B6923" t="s">
        <v>171</v>
      </c>
    </row>
    <row r="6924" spans="1:2" x14ac:dyDescent="0.3">
      <c r="B6924" t="s">
        <v>171</v>
      </c>
    </row>
    <row r="6925" spans="1:2" x14ac:dyDescent="0.3">
      <c r="B6925" t="s">
        <v>171</v>
      </c>
    </row>
    <row r="6926" spans="1:2" x14ac:dyDescent="0.3">
      <c r="B6926" t="s">
        <v>171</v>
      </c>
    </row>
    <row r="6927" spans="1:2" x14ac:dyDescent="0.3">
      <c r="B6927" t="s">
        <v>171</v>
      </c>
    </row>
    <row r="6928" spans="1:2" x14ac:dyDescent="0.3">
      <c r="A6928" t="s">
        <v>5631</v>
      </c>
      <c r="B6928" t="s">
        <v>172</v>
      </c>
    </row>
    <row r="6929" spans="1:2" x14ac:dyDescent="0.3">
      <c r="A6929" t="s">
        <v>5632</v>
      </c>
      <c r="B6929" t="s">
        <v>172</v>
      </c>
    </row>
    <row r="6930" spans="1:2" x14ac:dyDescent="0.3">
      <c r="A6930" t="s">
        <v>5633</v>
      </c>
      <c r="B6930" t="s">
        <v>172</v>
      </c>
    </row>
    <row r="6931" spans="1:2" x14ac:dyDescent="0.3">
      <c r="A6931" t="s">
        <v>5634</v>
      </c>
      <c r="B6931" t="s">
        <v>172</v>
      </c>
    </row>
    <row r="6932" spans="1:2" x14ac:dyDescent="0.3">
      <c r="A6932" t="s">
        <v>5635</v>
      </c>
      <c r="B6932" t="s">
        <v>172</v>
      </c>
    </row>
    <row r="6933" spans="1:2" x14ac:dyDescent="0.3">
      <c r="A6933" t="s">
        <v>5636</v>
      </c>
      <c r="B6933" t="s">
        <v>172</v>
      </c>
    </row>
    <row r="6934" spans="1:2" x14ac:dyDescent="0.3">
      <c r="A6934" t="s">
        <v>5637</v>
      </c>
      <c r="B6934" t="s">
        <v>172</v>
      </c>
    </row>
    <row r="6935" spans="1:2" x14ac:dyDescent="0.3">
      <c r="A6935" t="s">
        <v>3210</v>
      </c>
      <c r="B6935" t="s">
        <v>172</v>
      </c>
    </row>
    <row r="6936" spans="1:2" x14ac:dyDescent="0.3">
      <c r="B6936" t="s">
        <v>172</v>
      </c>
    </row>
    <row r="6937" spans="1:2" x14ac:dyDescent="0.3">
      <c r="B6937" t="s">
        <v>172</v>
      </c>
    </row>
    <row r="6938" spans="1:2" x14ac:dyDescent="0.3">
      <c r="A6938" t="s">
        <v>5638</v>
      </c>
      <c r="B6938" t="s">
        <v>172</v>
      </c>
    </row>
    <row r="6939" spans="1:2" x14ac:dyDescent="0.3">
      <c r="A6939" t="s">
        <v>5639</v>
      </c>
      <c r="B6939" t="s">
        <v>1</v>
      </c>
    </row>
    <row r="6940" spans="1:2" x14ac:dyDescent="0.3">
      <c r="A6940" t="s">
        <v>5640</v>
      </c>
      <c r="B6940" t="s">
        <v>1</v>
      </c>
    </row>
    <row r="6941" spans="1:2" x14ac:dyDescent="0.3">
      <c r="B6941" t="s">
        <v>258</v>
      </c>
    </row>
    <row r="6942" spans="1:2" x14ac:dyDescent="0.3">
      <c r="A6942" t="s">
        <v>5641</v>
      </c>
      <c r="B6942" t="s">
        <v>1</v>
      </c>
    </row>
    <row r="6943" spans="1:2" x14ac:dyDescent="0.3">
      <c r="B6943" t="s">
        <v>2222</v>
      </c>
    </row>
    <row r="6944" spans="1:2" x14ac:dyDescent="0.3">
      <c r="B6944" t="s">
        <v>2222</v>
      </c>
    </row>
    <row r="6945" spans="1:2" x14ac:dyDescent="0.3">
      <c r="B6945" t="s">
        <v>2</v>
      </c>
    </row>
    <row r="6946" spans="1:2" x14ac:dyDescent="0.3">
      <c r="B6946" t="s">
        <v>2222</v>
      </c>
    </row>
    <row r="6947" spans="1:2" x14ac:dyDescent="0.3">
      <c r="B6947" t="s">
        <v>2222</v>
      </c>
    </row>
    <row r="6948" spans="1:2" x14ac:dyDescent="0.3">
      <c r="B6948" t="s">
        <v>2222</v>
      </c>
    </row>
    <row r="6949" spans="1:2" x14ac:dyDescent="0.3">
      <c r="B6949" t="s">
        <v>2222</v>
      </c>
    </row>
    <row r="6950" spans="1:2" x14ac:dyDescent="0.3">
      <c r="B6950" t="s">
        <v>2222</v>
      </c>
    </row>
    <row r="6951" spans="1:2" x14ac:dyDescent="0.3">
      <c r="A6951" t="s">
        <v>1614</v>
      </c>
      <c r="B6951" t="s">
        <v>1172</v>
      </c>
    </row>
    <row r="6952" spans="1:2" x14ac:dyDescent="0.3">
      <c r="A6952" t="s">
        <v>5642</v>
      </c>
      <c r="B6952" t="s">
        <v>1</v>
      </c>
    </row>
    <row r="6953" spans="1:2" x14ac:dyDescent="0.3">
      <c r="A6953" t="s">
        <v>5643</v>
      </c>
      <c r="B6953" t="s">
        <v>171</v>
      </c>
    </row>
    <row r="6954" spans="1:2" x14ac:dyDescent="0.3">
      <c r="A6954" t="s">
        <v>5644</v>
      </c>
      <c r="B6954" t="s">
        <v>77</v>
      </c>
    </row>
    <row r="6955" spans="1:2" x14ac:dyDescent="0.3">
      <c r="B6955" t="s">
        <v>169</v>
      </c>
    </row>
    <row r="6956" spans="1:2" x14ac:dyDescent="0.3">
      <c r="B6956" t="s">
        <v>169</v>
      </c>
    </row>
    <row r="6957" spans="1:2" x14ac:dyDescent="0.3">
      <c r="B6957" t="s">
        <v>1</v>
      </c>
    </row>
    <row r="6958" spans="1:2" x14ac:dyDescent="0.3">
      <c r="B6958" t="s">
        <v>171</v>
      </c>
    </row>
    <row r="6959" spans="1:2" x14ac:dyDescent="0.3">
      <c r="B6959" t="s">
        <v>171</v>
      </c>
    </row>
    <row r="6960" spans="1:2" x14ac:dyDescent="0.3">
      <c r="B6960" t="s">
        <v>171</v>
      </c>
    </row>
    <row r="6961" spans="1:2" x14ac:dyDescent="0.3">
      <c r="B6961" t="s">
        <v>171</v>
      </c>
    </row>
    <row r="6962" spans="1:2" x14ac:dyDescent="0.3">
      <c r="B6962" t="s">
        <v>171</v>
      </c>
    </row>
    <row r="6963" spans="1:2" x14ac:dyDescent="0.3">
      <c r="B6963" t="s">
        <v>171</v>
      </c>
    </row>
    <row r="6964" spans="1:2" x14ac:dyDescent="0.3">
      <c r="B6964" t="s">
        <v>171</v>
      </c>
    </row>
    <row r="6965" spans="1:2" x14ac:dyDescent="0.3">
      <c r="B6965" t="s">
        <v>2469</v>
      </c>
    </row>
    <row r="6966" spans="1:2" x14ac:dyDescent="0.3">
      <c r="B6966" t="s">
        <v>2469</v>
      </c>
    </row>
    <row r="6967" spans="1:2" x14ac:dyDescent="0.3">
      <c r="A6967" t="s">
        <v>5645</v>
      </c>
      <c r="B6967" t="s">
        <v>1</v>
      </c>
    </row>
    <row r="6968" spans="1:2" x14ac:dyDescent="0.3">
      <c r="A6968" t="s">
        <v>5646</v>
      </c>
      <c r="B6968" t="s">
        <v>171</v>
      </c>
    </row>
    <row r="6969" spans="1:2" x14ac:dyDescent="0.3">
      <c r="A6969" t="s">
        <v>5647</v>
      </c>
      <c r="B6969" t="s">
        <v>2</v>
      </c>
    </row>
    <row r="6970" spans="1:2" x14ac:dyDescent="0.3">
      <c r="B6970" t="s">
        <v>1</v>
      </c>
    </row>
    <row r="6971" spans="1:2" x14ac:dyDescent="0.3">
      <c r="B6971" t="s">
        <v>166</v>
      </c>
    </row>
    <row r="6972" spans="1:2" x14ac:dyDescent="0.3">
      <c r="A6972" t="s">
        <v>5648</v>
      </c>
      <c r="B6972" t="s">
        <v>176</v>
      </c>
    </row>
    <row r="6973" spans="1:2" x14ac:dyDescent="0.3">
      <c r="B6973" t="s">
        <v>888</v>
      </c>
    </row>
    <row r="6974" spans="1:2" x14ac:dyDescent="0.3">
      <c r="A6974" t="s">
        <v>5649</v>
      </c>
      <c r="B6974" t="s">
        <v>169</v>
      </c>
    </row>
    <row r="6975" spans="1:2" x14ac:dyDescent="0.3">
      <c r="A6975" t="s">
        <v>5650</v>
      </c>
      <c r="B6975" t="s">
        <v>1831</v>
      </c>
    </row>
    <row r="6976" spans="1:2" x14ac:dyDescent="0.3">
      <c r="B6976" t="s">
        <v>172</v>
      </c>
    </row>
    <row r="6977" spans="1:2" x14ac:dyDescent="0.3">
      <c r="A6977" t="s">
        <v>5651</v>
      </c>
      <c r="B6977" t="s">
        <v>172</v>
      </c>
    </row>
    <row r="6978" spans="1:2" x14ac:dyDescent="0.3">
      <c r="B6978" t="s">
        <v>97</v>
      </c>
    </row>
    <row r="6979" spans="1:2" x14ac:dyDescent="0.3">
      <c r="B6979" t="s">
        <v>171</v>
      </c>
    </row>
    <row r="6980" spans="1:2" x14ac:dyDescent="0.3">
      <c r="A6980" t="s">
        <v>5652</v>
      </c>
      <c r="B6980" t="s">
        <v>176</v>
      </c>
    </row>
    <row r="6981" spans="1:2" x14ac:dyDescent="0.3">
      <c r="B6981" t="s">
        <v>1171</v>
      </c>
    </row>
    <row r="6982" spans="1:2" x14ac:dyDescent="0.3">
      <c r="A6982" t="s">
        <v>5653</v>
      </c>
      <c r="B6982" t="s">
        <v>1</v>
      </c>
    </row>
    <row r="6983" spans="1:2" x14ac:dyDescent="0.3">
      <c r="A6983" t="s">
        <v>5654</v>
      </c>
      <c r="B6983" t="s">
        <v>1</v>
      </c>
    </row>
    <row r="6984" spans="1:2" x14ac:dyDescent="0.3">
      <c r="B6984" t="s">
        <v>1</v>
      </c>
    </row>
    <row r="6985" spans="1:2" x14ac:dyDescent="0.3">
      <c r="A6985" t="s">
        <v>5655</v>
      </c>
      <c r="B6985" t="s">
        <v>1</v>
      </c>
    </row>
    <row r="6986" spans="1:2" x14ac:dyDescent="0.3">
      <c r="B6986" t="s">
        <v>193</v>
      </c>
    </row>
    <row r="6987" spans="1:2" x14ac:dyDescent="0.3">
      <c r="A6987" t="s">
        <v>5656</v>
      </c>
      <c r="B6987" t="s">
        <v>179</v>
      </c>
    </row>
    <row r="6988" spans="1:2" x14ac:dyDescent="0.3">
      <c r="B6988" t="s">
        <v>1</v>
      </c>
    </row>
    <row r="6989" spans="1:2" x14ac:dyDescent="0.3">
      <c r="B6989" t="s">
        <v>171</v>
      </c>
    </row>
    <row r="6990" spans="1:2" x14ac:dyDescent="0.3">
      <c r="A6990" t="s">
        <v>5657</v>
      </c>
      <c r="B6990" t="s">
        <v>176</v>
      </c>
    </row>
    <row r="6991" spans="1:2" x14ac:dyDescent="0.3">
      <c r="B6991" t="s">
        <v>1</v>
      </c>
    </row>
    <row r="6992" spans="1:2" x14ac:dyDescent="0.3">
      <c r="B6992" t="s">
        <v>1</v>
      </c>
    </row>
    <row r="6993" spans="1:2" x14ac:dyDescent="0.3">
      <c r="A6993" t="s">
        <v>5658</v>
      </c>
      <c r="B6993" t="s">
        <v>172</v>
      </c>
    </row>
    <row r="6994" spans="1:2" x14ac:dyDescent="0.3">
      <c r="B6994" t="s">
        <v>172</v>
      </c>
    </row>
    <row r="6995" spans="1:2" x14ac:dyDescent="0.3">
      <c r="B6995" t="s">
        <v>172</v>
      </c>
    </row>
    <row r="6996" spans="1:2" x14ac:dyDescent="0.3">
      <c r="B6996" t="s">
        <v>172</v>
      </c>
    </row>
    <row r="6997" spans="1:2" x14ac:dyDescent="0.3">
      <c r="B6997" t="s">
        <v>166</v>
      </c>
    </row>
    <row r="6998" spans="1:2" x14ac:dyDescent="0.3">
      <c r="A6998" t="s">
        <v>5659</v>
      </c>
      <c r="B6998" t="s">
        <v>166</v>
      </c>
    </row>
    <row r="6999" spans="1:2" x14ac:dyDescent="0.3">
      <c r="B6999" t="s">
        <v>102</v>
      </c>
    </row>
    <row r="7000" spans="1:2" x14ac:dyDescent="0.3">
      <c r="A7000" t="s">
        <v>5660</v>
      </c>
      <c r="B7000" t="s">
        <v>1</v>
      </c>
    </row>
    <row r="7001" spans="1:2" x14ac:dyDescent="0.3">
      <c r="A7001" t="s">
        <v>5661</v>
      </c>
      <c r="B7001" t="s">
        <v>193</v>
      </c>
    </row>
    <row r="7002" spans="1:2" x14ac:dyDescent="0.3">
      <c r="B7002" t="s">
        <v>72</v>
      </c>
    </row>
    <row r="7003" spans="1:2" x14ac:dyDescent="0.3">
      <c r="B7003" t="s">
        <v>72</v>
      </c>
    </row>
    <row r="7004" spans="1:2" x14ac:dyDescent="0.3">
      <c r="B7004" t="s">
        <v>173</v>
      </c>
    </row>
    <row r="7005" spans="1:2" x14ac:dyDescent="0.3">
      <c r="B7005" t="s">
        <v>166</v>
      </c>
    </row>
    <row r="7006" spans="1:2" x14ac:dyDescent="0.3">
      <c r="A7006" t="s">
        <v>5662</v>
      </c>
      <c r="B7006" t="s">
        <v>174</v>
      </c>
    </row>
    <row r="7007" spans="1:2" x14ac:dyDescent="0.3">
      <c r="B7007" t="s">
        <v>174</v>
      </c>
    </row>
    <row r="7008" spans="1:2" x14ac:dyDescent="0.3">
      <c r="B7008" t="s">
        <v>102</v>
      </c>
    </row>
    <row r="7009" spans="1:2" x14ac:dyDescent="0.3">
      <c r="B7009" t="s">
        <v>200</v>
      </c>
    </row>
    <row r="7010" spans="1:2" x14ac:dyDescent="0.3">
      <c r="B7010" t="s">
        <v>72</v>
      </c>
    </row>
    <row r="7011" spans="1:2" x14ac:dyDescent="0.3">
      <c r="B7011" t="s">
        <v>72</v>
      </c>
    </row>
    <row r="7012" spans="1:2" x14ac:dyDescent="0.3">
      <c r="A7012" t="s">
        <v>5663</v>
      </c>
      <c r="B7012" t="s">
        <v>176</v>
      </c>
    </row>
    <row r="7013" spans="1:2" x14ac:dyDescent="0.3">
      <c r="A7013" t="s">
        <v>5664</v>
      </c>
      <c r="B7013" t="s">
        <v>1</v>
      </c>
    </row>
    <row r="7014" spans="1:2" x14ac:dyDescent="0.3">
      <c r="A7014" t="s">
        <v>5665</v>
      </c>
      <c r="B7014" t="s">
        <v>1</v>
      </c>
    </row>
    <row r="7015" spans="1:2" x14ac:dyDescent="0.3">
      <c r="A7015" t="s">
        <v>5666</v>
      </c>
      <c r="B7015" t="s">
        <v>1</v>
      </c>
    </row>
    <row r="7016" spans="1:2" x14ac:dyDescent="0.3">
      <c r="A7016" t="s">
        <v>5667</v>
      </c>
      <c r="B7016" t="s">
        <v>1</v>
      </c>
    </row>
    <row r="7017" spans="1:2" x14ac:dyDescent="0.3">
      <c r="A7017" t="s">
        <v>5668</v>
      </c>
      <c r="B7017" t="s">
        <v>1</v>
      </c>
    </row>
    <row r="7018" spans="1:2" x14ac:dyDescent="0.3">
      <c r="B7018" t="s">
        <v>1107</v>
      </c>
    </row>
    <row r="7019" spans="1:2" x14ac:dyDescent="0.3">
      <c r="B7019" t="s">
        <v>1107</v>
      </c>
    </row>
    <row r="7020" spans="1:2" x14ac:dyDescent="0.3">
      <c r="B7020" t="s">
        <v>1107</v>
      </c>
    </row>
    <row r="7021" spans="1:2" x14ac:dyDescent="0.3">
      <c r="B7021" t="s">
        <v>102</v>
      </c>
    </row>
    <row r="7022" spans="1:2" x14ac:dyDescent="0.3">
      <c r="B7022" t="s">
        <v>102</v>
      </c>
    </row>
    <row r="7023" spans="1:2" x14ac:dyDescent="0.3">
      <c r="B7023" t="s">
        <v>72</v>
      </c>
    </row>
    <row r="7024" spans="1:2" x14ac:dyDescent="0.3">
      <c r="B7024" t="s">
        <v>183</v>
      </c>
    </row>
    <row r="7025" spans="1:2" x14ac:dyDescent="0.3">
      <c r="B7025" t="s">
        <v>72</v>
      </c>
    </row>
    <row r="7026" spans="1:2" x14ac:dyDescent="0.3">
      <c r="B7026" t="s">
        <v>1</v>
      </c>
    </row>
    <row r="7027" spans="1:2" x14ac:dyDescent="0.3">
      <c r="B7027" t="s">
        <v>200</v>
      </c>
    </row>
    <row r="7028" spans="1:2" x14ac:dyDescent="0.3">
      <c r="B7028" t="s">
        <v>102</v>
      </c>
    </row>
    <row r="7029" spans="1:2" x14ac:dyDescent="0.3">
      <c r="B7029" t="s">
        <v>72</v>
      </c>
    </row>
    <row r="7030" spans="1:2" x14ac:dyDescent="0.3">
      <c r="A7030" t="s">
        <v>5669</v>
      </c>
      <c r="B7030" t="s">
        <v>1</v>
      </c>
    </row>
    <row r="7031" spans="1:2" x14ac:dyDescent="0.3">
      <c r="B7031" t="s">
        <v>2149</v>
      </c>
    </row>
    <row r="7032" spans="1:2" x14ac:dyDescent="0.3">
      <c r="B7032" t="s">
        <v>263</v>
      </c>
    </row>
    <row r="7033" spans="1:2" x14ac:dyDescent="0.3">
      <c r="A7033" t="s">
        <v>5670</v>
      </c>
      <c r="B7033" t="s">
        <v>165</v>
      </c>
    </row>
    <row r="7034" spans="1:2" x14ac:dyDescent="0.3">
      <c r="B7034" t="s">
        <v>216</v>
      </c>
    </row>
    <row r="7035" spans="1:2" x14ac:dyDescent="0.3">
      <c r="B7035" t="s">
        <v>166</v>
      </c>
    </row>
    <row r="7036" spans="1:2" x14ac:dyDescent="0.3">
      <c r="B7036" t="s">
        <v>139</v>
      </c>
    </row>
    <row r="7037" spans="1:2" x14ac:dyDescent="0.3">
      <c r="B7037" t="s">
        <v>186</v>
      </c>
    </row>
    <row r="7038" spans="1:2" x14ac:dyDescent="0.3">
      <c r="A7038" t="s">
        <v>5671</v>
      </c>
      <c r="B7038" t="s">
        <v>2353</v>
      </c>
    </row>
    <row r="7039" spans="1:2" x14ac:dyDescent="0.3">
      <c r="A7039" t="s">
        <v>5672</v>
      </c>
      <c r="B7039" t="s">
        <v>174</v>
      </c>
    </row>
    <row r="7040" spans="1:2" x14ac:dyDescent="0.3">
      <c r="B7040" t="s">
        <v>1</v>
      </c>
    </row>
    <row r="7041" spans="1:2" x14ac:dyDescent="0.3">
      <c r="B7041" t="s">
        <v>172</v>
      </c>
    </row>
    <row r="7042" spans="1:2" x14ac:dyDescent="0.3">
      <c r="B7042" t="s">
        <v>171</v>
      </c>
    </row>
    <row r="7043" spans="1:2" x14ac:dyDescent="0.3">
      <c r="A7043" t="s">
        <v>5673</v>
      </c>
      <c r="B7043" t="s">
        <v>1</v>
      </c>
    </row>
    <row r="7044" spans="1:2" x14ac:dyDescent="0.3">
      <c r="A7044" t="s">
        <v>5674</v>
      </c>
      <c r="B7044" t="s">
        <v>1</v>
      </c>
    </row>
    <row r="7045" spans="1:2" x14ac:dyDescent="0.3">
      <c r="B7045" t="s">
        <v>1</v>
      </c>
    </row>
    <row r="7046" spans="1:2" x14ac:dyDescent="0.3">
      <c r="B7046" t="s">
        <v>171</v>
      </c>
    </row>
    <row r="7047" spans="1:2" x14ac:dyDescent="0.3">
      <c r="A7047" t="s">
        <v>5675</v>
      </c>
      <c r="B7047" t="s">
        <v>172</v>
      </c>
    </row>
    <row r="7048" spans="1:2" x14ac:dyDescent="0.3">
      <c r="B7048" t="s">
        <v>245</v>
      </c>
    </row>
    <row r="7049" spans="1:2" x14ac:dyDescent="0.3">
      <c r="B7049" t="s">
        <v>245</v>
      </c>
    </row>
    <row r="7050" spans="1:2" x14ac:dyDescent="0.3">
      <c r="B7050" t="s">
        <v>245</v>
      </c>
    </row>
    <row r="7051" spans="1:2" x14ac:dyDescent="0.3">
      <c r="A7051" t="s">
        <v>5676</v>
      </c>
      <c r="B7051" t="s">
        <v>1728</v>
      </c>
    </row>
    <row r="7052" spans="1:2" x14ac:dyDescent="0.3">
      <c r="A7052" t="s">
        <v>5677</v>
      </c>
      <c r="B7052" t="s">
        <v>166</v>
      </c>
    </row>
    <row r="7053" spans="1:2" x14ac:dyDescent="0.3">
      <c r="B7053" t="s">
        <v>252</v>
      </c>
    </row>
    <row r="7054" spans="1:2" x14ac:dyDescent="0.3">
      <c r="A7054" t="s">
        <v>5678</v>
      </c>
      <c r="B7054" t="s">
        <v>801</v>
      </c>
    </row>
    <row r="7055" spans="1:2" x14ac:dyDescent="0.3">
      <c r="A7055" t="s">
        <v>5679</v>
      </c>
      <c r="B7055" t="s">
        <v>801</v>
      </c>
    </row>
    <row r="7056" spans="1:2" x14ac:dyDescent="0.3">
      <c r="A7056" t="s">
        <v>5680</v>
      </c>
      <c r="B7056" t="s">
        <v>102</v>
      </c>
    </row>
    <row r="7057" spans="1:2" x14ac:dyDescent="0.3">
      <c r="A7057" t="s">
        <v>5681</v>
      </c>
      <c r="B7057" t="s">
        <v>228</v>
      </c>
    </row>
    <row r="7058" spans="1:2" x14ac:dyDescent="0.3">
      <c r="A7058" t="s">
        <v>5682</v>
      </c>
      <c r="B7058" t="s">
        <v>72</v>
      </c>
    </row>
    <row r="7059" spans="1:2" x14ac:dyDescent="0.3">
      <c r="A7059" t="s">
        <v>5683</v>
      </c>
      <c r="B7059" t="s">
        <v>163</v>
      </c>
    </row>
    <row r="7060" spans="1:2" x14ac:dyDescent="0.3">
      <c r="A7060" t="s">
        <v>5684</v>
      </c>
      <c r="B7060" t="s">
        <v>186</v>
      </c>
    </row>
    <row r="7061" spans="1:2" x14ac:dyDescent="0.3">
      <c r="A7061" t="s">
        <v>189</v>
      </c>
      <c r="B7061" t="s">
        <v>200</v>
      </c>
    </row>
    <row r="7062" spans="1:2" x14ac:dyDescent="0.3">
      <c r="A7062" t="s">
        <v>5685</v>
      </c>
      <c r="B7062" t="s">
        <v>170</v>
      </c>
    </row>
    <row r="7063" spans="1:2" x14ac:dyDescent="0.3">
      <c r="A7063" t="s">
        <v>5686</v>
      </c>
      <c r="B7063" t="s">
        <v>1</v>
      </c>
    </row>
    <row r="7064" spans="1:2" x14ac:dyDescent="0.3">
      <c r="B7064" t="s">
        <v>1</v>
      </c>
    </row>
    <row r="7065" spans="1:2" x14ac:dyDescent="0.3">
      <c r="B7065" t="s">
        <v>1</v>
      </c>
    </row>
    <row r="7066" spans="1:2" x14ac:dyDescent="0.3">
      <c r="A7066" t="s">
        <v>5687</v>
      </c>
      <c r="B7066" t="s">
        <v>1</v>
      </c>
    </row>
    <row r="7067" spans="1:2" x14ac:dyDescent="0.3">
      <c r="A7067" t="s">
        <v>5688</v>
      </c>
      <c r="B7067" t="s">
        <v>1</v>
      </c>
    </row>
    <row r="7068" spans="1:2" x14ac:dyDescent="0.3">
      <c r="B7068" t="s">
        <v>171</v>
      </c>
    </row>
    <row r="7069" spans="1:2" x14ac:dyDescent="0.3">
      <c r="A7069" t="s">
        <v>5689</v>
      </c>
      <c r="B7069" t="s">
        <v>1</v>
      </c>
    </row>
    <row r="7070" spans="1:2" x14ac:dyDescent="0.3">
      <c r="B7070" t="s">
        <v>72</v>
      </c>
    </row>
    <row r="7071" spans="1:2" x14ac:dyDescent="0.3">
      <c r="B7071" t="s">
        <v>72</v>
      </c>
    </row>
    <row r="7072" spans="1:2" x14ac:dyDescent="0.3">
      <c r="B7072" t="s">
        <v>1</v>
      </c>
    </row>
    <row r="7073" spans="1:2" x14ac:dyDescent="0.3">
      <c r="B7073" t="s">
        <v>1</v>
      </c>
    </row>
    <row r="7074" spans="1:2" x14ac:dyDescent="0.3">
      <c r="A7074" t="s">
        <v>5690</v>
      </c>
      <c r="B7074" t="s">
        <v>1</v>
      </c>
    </row>
    <row r="7075" spans="1:2" x14ac:dyDescent="0.3">
      <c r="A7075" t="s">
        <v>5691</v>
      </c>
      <c r="B7075" t="s">
        <v>1</v>
      </c>
    </row>
    <row r="7076" spans="1:2" x14ac:dyDescent="0.3">
      <c r="A7076" t="s">
        <v>5692</v>
      </c>
      <c r="B7076" t="s">
        <v>1</v>
      </c>
    </row>
    <row r="7077" spans="1:2" x14ac:dyDescent="0.3">
      <c r="A7077" t="s">
        <v>5693</v>
      </c>
      <c r="B7077" t="s">
        <v>1</v>
      </c>
    </row>
    <row r="7078" spans="1:2" x14ac:dyDescent="0.3">
      <c r="A7078" t="s">
        <v>5694</v>
      </c>
      <c r="B7078" t="s">
        <v>1</v>
      </c>
    </row>
    <row r="7079" spans="1:2" x14ac:dyDescent="0.3">
      <c r="A7079" t="s">
        <v>5695</v>
      </c>
      <c r="B7079" t="s">
        <v>1</v>
      </c>
    </row>
    <row r="7080" spans="1:2" x14ac:dyDescent="0.3">
      <c r="A7080" t="s">
        <v>5696</v>
      </c>
      <c r="B7080" t="s">
        <v>1</v>
      </c>
    </row>
    <row r="7081" spans="1:2" x14ac:dyDescent="0.3">
      <c r="A7081" t="s">
        <v>5697</v>
      </c>
      <c r="B7081" t="s">
        <v>1</v>
      </c>
    </row>
    <row r="7082" spans="1:2" x14ac:dyDescent="0.3">
      <c r="A7082" t="s">
        <v>5698</v>
      </c>
      <c r="B7082" t="s">
        <v>1</v>
      </c>
    </row>
    <row r="7083" spans="1:2" x14ac:dyDescent="0.3">
      <c r="A7083" t="s">
        <v>5699</v>
      </c>
      <c r="B7083" t="s">
        <v>1</v>
      </c>
    </row>
    <row r="7084" spans="1:2" x14ac:dyDescent="0.3">
      <c r="A7084" t="s">
        <v>5700</v>
      </c>
      <c r="B7084" t="s">
        <v>1</v>
      </c>
    </row>
    <row r="7085" spans="1:2" x14ac:dyDescent="0.3">
      <c r="A7085" t="s">
        <v>5701</v>
      </c>
      <c r="B7085" t="s">
        <v>1</v>
      </c>
    </row>
    <row r="7086" spans="1:2" x14ac:dyDescent="0.3">
      <c r="A7086" t="s">
        <v>5702</v>
      </c>
      <c r="B7086" t="s">
        <v>1</v>
      </c>
    </row>
    <row r="7087" spans="1:2" x14ac:dyDescent="0.3">
      <c r="A7087" t="s">
        <v>5703</v>
      </c>
      <c r="B7087" t="s">
        <v>1</v>
      </c>
    </row>
    <row r="7088" spans="1:2" x14ac:dyDescent="0.3">
      <c r="A7088" t="s">
        <v>5704</v>
      </c>
      <c r="B7088" t="s">
        <v>1</v>
      </c>
    </row>
    <row r="7089" spans="1:2" x14ac:dyDescent="0.3">
      <c r="A7089" t="s">
        <v>5705</v>
      </c>
      <c r="B7089" t="s">
        <v>1</v>
      </c>
    </row>
    <row r="7090" spans="1:2" x14ac:dyDescent="0.3">
      <c r="A7090" t="s">
        <v>5706</v>
      </c>
      <c r="B7090" t="s">
        <v>1</v>
      </c>
    </row>
    <row r="7091" spans="1:2" x14ac:dyDescent="0.3">
      <c r="A7091" t="s">
        <v>5707</v>
      </c>
      <c r="B7091" t="s">
        <v>1</v>
      </c>
    </row>
    <row r="7092" spans="1:2" x14ac:dyDescent="0.3">
      <c r="A7092" t="s">
        <v>5708</v>
      </c>
      <c r="B7092" t="s">
        <v>1</v>
      </c>
    </row>
    <row r="7093" spans="1:2" x14ac:dyDescent="0.3">
      <c r="A7093" t="s">
        <v>5709</v>
      </c>
      <c r="B7093" t="s">
        <v>1</v>
      </c>
    </row>
    <row r="7094" spans="1:2" x14ac:dyDescent="0.3">
      <c r="A7094" t="s">
        <v>5710</v>
      </c>
      <c r="B7094" t="s">
        <v>1</v>
      </c>
    </row>
    <row r="7095" spans="1:2" x14ac:dyDescent="0.3">
      <c r="A7095" t="s">
        <v>5711</v>
      </c>
      <c r="B7095" t="s">
        <v>1</v>
      </c>
    </row>
    <row r="7096" spans="1:2" x14ac:dyDescent="0.3">
      <c r="A7096" t="s">
        <v>5712</v>
      </c>
      <c r="B7096" t="s">
        <v>1</v>
      </c>
    </row>
    <row r="7097" spans="1:2" x14ac:dyDescent="0.3">
      <c r="A7097" t="s">
        <v>5713</v>
      </c>
      <c r="B7097" t="s">
        <v>1</v>
      </c>
    </row>
    <row r="7098" spans="1:2" x14ac:dyDescent="0.3">
      <c r="A7098" t="s">
        <v>5714</v>
      </c>
      <c r="B7098" t="s">
        <v>1</v>
      </c>
    </row>
    <row r="7099" spans="1:2" x14ac:dyDescent="0.3">
      <c r="A7099" t="s">
        <v>5715</v>
      </c>
      <c r="B7099" t="s">
        <v>1</v>
      </c>
    </row>
    <row r="7100" spans="1:2" x14ac:dyDescent="0.3">
      <c r="A7100" t="s">
        <v>5716</v>
      </c>
      <c r="B7100" t="s">
        <v>1</v>
      </c>
    </row>
    <row r="7101" spans="1:2" x14ac:dyDescent="0.3">
      <c r="A7101" t="s">
        <v>5717</v>
      </c>
      <c r="B7101" t="s">
        <v>1</v>
      </c>
    </row>
    <row r="7102" spans="1:2" x14ac:dyDescent="0.3">
      <c r="A7102" t="s">
        <v>5718</v>
      </c>
      <c r="B7102" t="s">
        <v>1</v>
      </c>
    </row>
    <row r="7103" spans="1:2" x14ac:dyDescent="0.3">
      <c r="A7103" t="s">
        <v>11</v>
      </c>
      <c r="B7103" t="s">
        <v>1</v>
      </c>
    </row>
    <row r="7104" spans="1:2" x14ac:dyDescent="0.3">
      <c r="A7104" t="s">
        <v>5719</v>
      </c>
      <c r="B7104" t="s">
        <v>1</v>
      </c>
    </row>
    <row r="7105" spans="1:2" x14ac:dyDescent="0.3">
      <c r="A7105" t="s">
        <v>5720</v>
      </c>
      <c r="B7105" t="s">
        <v>1</v>
      </c>
    </row>
    <row r="7106" spans="1:2" x14ac:dyDescent="0.3">
      <c r="A7106" t="s">
        <v>5721</v>
      </c>
      <c r="B7106" t="s">
        <v>1</v>
      </c>
    </row>
    <row r="7107" spans="1:2" x14ac:dyDescent="0.3">
      <c r="A7107" t="s">
        <v>5722</v>
      </c>
      <c r="B7107" t="s">
        <v>1</v>
      </c>
    </row>
    <row r="7108" spans="1:2" x14ac:dyDescent="0.3">
      <c r="B7108" t="s">
        <v>1</v>
      </c>
    </row>
    <row r="7109" spans="1:2" x14ac:dyDescent="0.3">
      <c r="A7109" t="s">
        <v>5723</v>
      </c>
      <c r="B7109" t="s">
        <v>1</v>
      </c>
    </row>
    <row r="7110" spans="1:2" x14ac:dyDescent="0.3">
      <c r="A7110" t="s">
        <v>5724</v>
      </c>
      <c r="B7110" t="s">
        <v>1</v>
      </c>
    </row>
    <row r="7111" spans="1:2" x14ac:dyDescent="0.3">
      <c r="A7111" t="s">
        <v>5725</v>
      </c>
      <c r="B7111" t="s">
        <v>1</v>
      </c>
    </row>
    <row r="7112" spans="1:2" x14ac:dyDescent="0.3">
      <c r="A7112" t="s">
        <v>5726</v>
      </c>
      <c r="B7112" t="s">
        <v>1</v>
      </c>
    </row>
    <row r="7113" spans="1:2" x14ac:dyDescent="0.3">
      <c r="A7113" t="s">
        <v>5727</v>
      </c>
      <c r="B7113" t="s">
        <v>1</v>
      </c>
    </row>
    <row r="7114" spans="1:2" x14ac:dyDescent="0.3">
      <c r="A7114" t="s">
        <v>5728</v>
      </c>
      <c r="B7114" t="s">
        <v>1</v>
      </c>
    </row>
    <row r="7115" spans="1:2" x14ac:dyDescent="0.3">
      <c r="A7115" t="s">
        <v>5729</v>
      </c>
      <c r="B7115" t="s">
        <v>1</v>
      </c>
    </row>
    <row r="7116" spans="1:2" x14ac:dyDescent="0.3">
      <c r="A7116" t="s">
        <v>5730</v>
      </c>
      <c r="B7116" t="s">
        <v>1</v>
      </c>
    </row>
    <row r="7117" spans="1:2" x14ac:dyDescent="0.3">
      <c r="A7117" t="s">
        <v>5731</v>
      </c>
      <c r="B7117" t="s">
        <v>1</v>
      </c>
    </row>
    <row r="7118" spans="1:2" x14ac:dyDescent="0.3">
      <c r="A7118" t="s">
        <v>5732</v>
      </c>
      <c r="B7118" t="s">
        <v>1</v>
      </c>
    </row>
    <row r="7119" spans="1:2" x14ac:dyDescent="0.3">
      <c r="A7119" t="s">
        <v>5733</v>
      </c>
      <c r="B7119" t="s">
        <v>1</v>
      </c>
    </row>
    <row r="7120" spans="1:2" x14ac:dyDescent="0.3">
      <c r="A7120" t="s">
        <v>5734</v>
      </c>
      <c r="B7120" t="s">
        <v>1</v>
      </c>
    </row>
    <row r="7121" spans="1:2" x14ac:dyDescent="0.3">
      <c r="A7121" t="s">
        <v>5735</v>
      </c>
      <c r="B7121" t="s">
        <v>1</v>
      </c>
    </row>
    <row r="7122" spans="1:2" x14ac:dyDescent="0.3">
      <c r="A7122" t="s">
        <v>5736</v>
      </c>
      <c r="B7122" t="s">
        <v>1</v>
      </c>
    </row>
    <row r="7123" spans="1:2" x14ac:dyDescent="0.3">
      <c r="A7123" t="s">
        <v>5737</v>
      </c>
      <c r="B7123" t="s">
        <v>1</v>
      </c>
    </row>
    <row r="7124" spans="1:2" x14ac:dyDescent="0.3">
      <c r="A7124" t="s">
        <v>5738</v>
      </c>
      <c r="B7124" t="s">
        <v>1</v>
      </c>
    </row>
    <row r="7125" spans="1:2" x14ac:dyDescent="0.3">
      <c r="B7125" t="s">
        <v>1</v>
      </c>
    </row>
    <row r="7126" spans="1:2" x14ac:dyDescent="0.3">
      <c r="A7126" t="s">
        <v>5739</v>
      </c>
      <c r="B7126" t="s">
        <v>1</v>
      </c>
    </row>
    <row r="7127" spans="1:2" x14ac:dyDescent="0.3">
      <c r="A7127" t="s">
        <v>5740</v>
      </c>
      <c r="B7127" t="s">
        <v>1</v>
      </c>
    </row>
    <row r="7128" spans="1:2" x14ac:dyDescent="0.3">
      <c r="A7128" t="s">
        <v>5741</v>
      </c>
      <c r="B7128" t="s">
        <v>1</v>
      </c>
    </row>
    <row r="7129" spans="1:2" x14ac:dyDescent="0.3">
      <c r="A7129" t="s">
        <v>5742</v>
      </c>
      <c r="B7129" t="s">
        <v>1</v>
      </c>
    </row>
    <row r="7130" spans="1:2" x14ac:dyDescent="0.3">
      <c r="A7130" t="s">
        <v>5743</v>
      </c>
      <c r="B7130" t="s">
        <v>1</v>
      </c>
    </row>
    <row r="7131" spans="1:2" x14ac:dyDescent="0.3">
      <c r="A7131" t="s">
        <v>5744</v>
      </c>
      <c r="B7131" t="s">
        <v>1</v>
      </c>
    </row>
    <row r="7132" spans="1:2" x14ac:dyDescent="0.3">
      <c r="A7132" t="s">
        <v>5745</v>
      </c>
      <c r="B7132" t="s">
        <v>1</v>
      </c>
    </row>
    <row r="7133" spans="1:2" x14ac:dyDescent="0.3">
      <c r="A7133" t="s">
        <v>5746</v>
      </c>
      <c r="B7133" t="s">
        <v>1</v>
      </c>
    </row>
    <row r="7134" spans="1:2" x14ac:dyDescent="0.3">
      <c r="A7134" t="s">
        <v>5747</v>
      </c>
      <c r="B7134" t="s">
        <v>1</v>
      </c>
    </row>
    <row r="7135" spans="1:2" x14ac:dyDescent="0.3">
      <c r="A7135" t="s">
        <v>5748</v>
      </c>
      <c r="B7135" t="s">
        <v>1</v>
      </c>
    </row>
    <row r="7136" spans="1:2" x14ac:dyDescent="0.3">
      <c r="A7136" t="s">
        <v>5749</v>
      </c>
      <c r="B7136" t="s">
        <v>1</v>
      </c>
    </row>
    <row r="7137" spans="1:2" x14ac:dyDescent="0.3">
      <c r="A7137" t="s">
        <v>5750</v>
      </c>
      <c r="B7137" t="s">
        <v>97</v>
      </c>
    </row>
    <row r="7138" spans="1:2" x14ac:dyDescent="0.3">
      <c r="B7138" t="s">
        <v>97</v>
      </c>
    </row>
    <row r="7139" spans="1:2" x14ac:dyDescent="0.3">
      <c r="B7139" t="s">
        <v>97</v>
      </c>
    </row>
    <row r="7140" spans="1:2" x14ac:dyDescent="0.3">
      <c r="B7140" t="s">
        <v>97</v>
      </c>
    </row>
    <row r="7141" spans="1:2" x14ac:dyDescent="0.3">
      <c r="B7141" t="s">
        <v>97</v>
      </c>
    </row>
    <row r="7142" spans="1:2" x14ac:dyDescent="0.3">
      <c r="B7142" t="s">
        <v>97</v>
      </c>
    </row>
    <row r="7143" spans="1:2" x14ac:dyDescent="0.3">
      <c r="B7143" t="s">
        <v>97</v>
      </c>
    </row>
    <row r="7144" spans="1:2" x14ac:dyDescent="0.3">
      <c r="B7144" t="s">
        <v>97</v>
      </c>
    </row>
    <row r="7145" spans="1:2" x14ac:dyDescent="0.3">
      <c r="B7145" t="s">
        <v>97</v>
      </c>
    </row>
    <row r="7146" spans="1:2" x14ac:dyDescent="0.3">
      <c r="B7146" t="s">
        <v>97</v>
      </c>
    </row>
    <row r="7147" spans="1:2" x14ac:dyDescent="0.3">
      <c r="B7147" t="s">
        <v>97</v>
      </c>
    </row>
    <row r="7148" spans="1:2" x14ac:dyDescent="0.3">
      <c r="B7148" t="s">
        <v>97</v>
      </c>
    </row>
    <row r="7149" spans="1:2" x14ac:dyDescent="0.3">
      <c r="B7149" t="s">
        <v>97</v>
      </c>
    </row>
    <row r="7150" spans="1:2" x14ac:dyDescent="0.3">
      <c r="B7150" t="s">
        <v>97</v>
      </c>
    </row>
    <row r="7151" spans="1:2" x14ac:dyDescent="0.3">
      <c r="B7151" t="s">
        <v>97</v>
      </c>
    </row>
    <row r="7152" spans="1:2" x14ac:dyDescent="0.3">
      <c r="B7152" t="s">
        <v>97</v>
      </c>
    </row>
    <row r="7153" spans="1:2" x14ac:dyDescent="0.3">
      <c r="B7153" t="s">
        <v>961</v>
      </c>
    </row>
    <row r="7154" spans="1:2" x14ac:dyDescent="0.3">
      <c r="A7154" t="s">
        <v>5751</v>
      </c>
      <c r="B7154" t="s">
        <v>72</v>
      </c>
    </row>
    <row r="7155" spans="1:2" x14ac:dyDescent="0.3">
      <c r="A7155" t="s">
        <v>5752</v>
      </c>
      <c r="B7155" t="s">
        <v>72</v>
      </c>
    </row>
    <row r="7156" spans="1:2" x14ac:dyDescent="0.3">
      <c r="A7156" t="s">
        <v>5753</v>
      </c>
      <c r="B7156" t="s">
        <v>2</v>
      </c>
    </row>
    <row r="7157" spans="1:2" x14ac:dyDescent="0.3">
      <c r="A7157" t="s">
        <v>5754</v>
      </c>
      <c r="B7157" t="s">
        <v>2</v>
      </c>
    </row>
    <row r="7158" spans="1:2" x14ac:dyDescent="0.3">
      <c r="A7158" t="s">
        <v>5755</v>
      </c>
      <c r="B7158" t="s">
        <v>2</v>
      </c>
    </row>
    <row r="7159" spans="1:2" x14ac:dyDescent="0.3">
      <c r="A7159" t="s">
        <v>5756</v>
      </c>
      <c r="B7159" t="s">
        <v>72</v>
      </c>
    </row>
    <row r="7160" spans="1:2" x14ac:dyDescent="0.3">
      <c r="A7160" t="s">
        <v>92</v>
      </c>
      <c r="B7160" t="s">
        <v>97</v>
      </c>
    </row>
    <row r="7161" spans="1:2" x14ac:dyDescent="0.3">
      <c r="A7161" t="s">
        <v>5757</v>
      </c>
      <c r="B7161" t="s">
        <v>1</v>
      </c>
    </row>
    <row r="7162" spans="1:2" x14ac:dyDescent="0.3">
      <c r="A7162" t="s">
        <v>5758</v>
      </c>
      <c r="B7162" t="s">
        <v>1</v>
      </c>
    </row>
    <row r="7163" spans="1:2" x14ac:dyDescent="0.3">
      <c r="A7163" t="s">
        <v>5759</v>
      </c>
      <c r="B7163" t="s">
        <v>1</v>
      </c>
    </row>
    <row r="7164" spans="1:2" x14ac:dyDescent="0.3">
      <c r="A7164" t="s">
        <v>5760</v>
      </c>
      <c r="B7164" t="s">
        <v>174</v>
      </c>
    </row>
    <row r="7165" spans="1:2" x14ac:dyDescent="0.3">
      <c r="A7165" t="s">
        <v>5761</v>
      </c>
      <c r="B7165" t="s">
        <v>176</v>
      </c>
    </row>
    <row r="7166" spans="1:2" x14ac:dyDescent="0.3">
      <c r="A7166" t="s">
        <v>5762</v>
      </c>
      <c r="B7166" t="s">
        <v>165</v>
      </c>
    </row>
    <row r="7167" spans="1:2" x14ac:dyDescent="0.3">
      <c r="A7167" t="s">
        <v>5763</v>
      </c>
      <c r="B7167" t="s">
        <v>1</v>
      </c>
    </row>
    <row r="7168" spans="1:2" x14ac:dyDescent="0.3">
      <c r="A7168" t="s">
        <v>5764</v>
      </c>
      <c r="B7168" t="s">
        <v>172</v>
      </c>
    </row>
    <row r="7169" spans="1:2" x14ac:dyDescent="0.3">
      <c r="A7169" t="s">
        <v>5765</v>
      </c>
      <c r="B7169" t="s">
        <v>172</v>
      </c>
    </row>
    <row r="7170" spans="1:2" x14ac:dyDescent="0.3">
      <c r="B7170" t="s">
        <v>176</v>
      </c>
    </row>
    <row r="7171" spans="1:2" x14ac:dyDescent="0.3">
      <c r="A7171" t="s">
        <v>5766</v>
      </c>
      <c r="B7171" t="s">
        <v>1</v>
      </c>
    </row>
    <row r="7172" spans="1:2" x14ac:dyDescent="0.3">
      <c r="A7172" t="s">
        <v>5767</v>
      </c>
      <c r="B7172" t="s">
        <v>72</v>
      </c>
    </row>
    <row r="7173" spans="1:2" x14ac:dyDescent="0.3">
      <c r="B7173" t="s">
        <v>72</v>
      </c>
    </row>
    <row r="7174" spans="1:2" x14ac:dyDescent="0.3">
      <c r="A7174" t="s">
        <v>5768</v>
      </c>
      <c r="B7174" t="s">
        <v>1</v>
      </c>
    </row>
    <row r="7175" spans="1:2" x14ac:dyDescent="0.3">
      <c r="A7175" t="s">
        <v>5769</v>
      </c>
      <c r="B7175" t="s">
        <v>177</v>
      </c>
    </row>
    <row r="7176" spans="1:2" x14ac:dyDescent="0.3">
      <c r="A7176" t="s">
        <v>5770</v>
      </c>
      <c r="B7176" t="s">
        <v>1</v>
      </c>
    </row>
    <row r="7177" spans="1:2" x14ac:dyDescent="0.3">
      <c r="A7177" t="s">
        <v>5771</v>
      </c>
      <c r="B7177" t="s">
        <v>1</v>
      </c>
    </row>
    <row r="7178" spans="1:2" x14ac:dyDescent="0.3">
      <c r="A7178" t="s">
        <v>5772</v>
      </c>
      <c r="B7178" t="s">
        <v>1</v>
      </c>
    </row>
    <row r="7179" spans="1:2" x14ac:dyDescent="0.3">
      <c r="B7179" t="s">
        <v>2</v>
      </c>
    </row>
    <row r="7180" spans="1:2" x14ac:dyDescent="0.3">
      <c r="B7180" t="s">
        <v>2</v>
      </c>
    </row>
    <row r="7181" spans="1:2" x14ac:dyDescent="0.3">
      <c r="B7181" t="s">
        <v>2</v>
      </c>
    </row>
    <row r="7182" spans="1:2" x14ac:dyDescent="0.3">
      <c r="B7182" t="s">
        <v>263</v>
      </c>
    </row>
    <row r="7183" spans="1:2" x14ac:dyDescent="0.3">
      <c r="A7183" t="s">
        <v>5773</v>
      </c>
      <c r="B7183" t="s">
        <v>263</v>
      </c>
    </row>
    <row r="7184" spans="1:2" x14ac:dyDescent="0.3">
      <c r="B7184" t="s">
        <v>263</v>
      </c>
    </row>
    <row r="7185" spans="1:2" x14ac:dyDescent="0.3">
      <c r="B7185" t="s">
        <v>263</v>
      </c>
    </row>
    <row r="7186" spans="1:2" x14ac:dyDescent="0.3">
      <c r="B7186" t="s">
        <v>228</v>
      </c>
    </row>
    <row r="7187" spans="1:2" x14ac:dyDescent="0.3">
      <c r="B7187" t="s">
        <v>228</v>
      </c>
    </row>
    <row r="7188" spans="1:2" x14ac:dyDescent="0.3">
      <c r="B7188" t="s">
        <v>186</v>
      </c>
    </row>
    <row r="7189" spans="1:2" x14ac:dyDescent="0.3">
      <c r="B7189" t="s">
        <v>186</v>
      </c>
    </row>
    <row r="7190" spans="1:2" x14ac:dyDescent="0.3">
      <c r="B7190" t="s">
        <v>72</v>
      </c>
    </row>
    <row r="7191" spans="1:2" x14ac:dyDescent="0.3">
      <c r="B7191" t="s">
        <v>72</v>
      </c>
    </row>
    <row r="7192" spans="1:2" x14ac:dyDescent="0.3">
      <c r="B7192" t="s">
        <v>2</v>
      </c>
    </row>
    <row r="7193" spans="1:2" x14ac:dyDescent="0.3">
      <c r="B7193" t="s">
        <v>2</v>
      </c>
    </row>
    <row r="7194" spans="1:2" x14ac:dyDescent="0.3">
      <c r="A7194" t="s">
        <v>5774</v>
      </c>
      <c r="B7194" t="s">
        <v>1</v>
      </c>
    </row>
    <row r="7195" spans="1:2" x14ac:dyDescent="0.3">
      <c r="A7195" t="s">
        <v>5775</v>
      </c>
      <c r="B7195" t="s">
        <v>1</v>
      </c>
    </row>
    <row r="7196" spans="1:2" x14ac:dyDescent="0.3">
      <c r="A7196" t="s">
        <v>5776</v>
      </c>
      <c r="B7196" t="s">
        <v>1</v>
      </c>
    </row>
    <row r="7197" spans="1:2" x14ac:dyDescent="0.3">
      <c r="B7197" t="s">
        <v>177</v>
      </c>
    </row>
    <row r="7198" spans="1:2" x14ac:dyDescent="0.3">
      <c r="A7198" t="s">
        <v>5777</v>
      </c>
      <c r="B7198" t="s">
        <v>292</v>
      </c>
    </row>
    <row r="7199" spans="1:2" x14ac:dyDescent="0.3">
      <c r="B7199" t="s">
        <v>165</v>
      </c>
    </row>
    <row r="7200" spans="1:2" x14ac:dyDescent="0.3">
      <c r="A7200" t="s">
        <v>5778</v>
      </c>
      <c r="B7200" t="s">
        <v>176</v>
      </c>
    </row>
    <row r="7201" spans="1:2" x14ac:dyDescent="0.3">
      <c r="A7201" t="s">
        <v>5779</v>
      </c>
      <c r="B7201" t="s">
        <v>1</v>
      </c>
    </row>
    <row r="7202" spans="1:2" x14ac:dyDescent="0.3">
      <c r="A7202" t="s">
        <v>5780</v>
      </c>
      <c r="B7202" t="s">
        <v>1</v>
      </c>
    </row>
    <row r="7203" spans="1:2" x14ac:dyDescent="0.3">
      <c r="B7203" t="s">
        <v>179</v>
      </c>
    </row>
    <row r="7204" spans="1:2" x14ac:dyDescent="0.3">
      <c r="B7204" t="s">
        <v>179</v>
      </c>
    </row>
    <row r="7205" spans="1:2" x14ac:dyDescent="0.3">
      <c r="A7205" t="s">
        <v>5781</v>
      </c>
      <c r="B7205" t="s">
        <v>1</v>
      </c>
    </row>
    <row r="7206" spans="1:2" x14ac:dyDescent="0.3">
      <c r="A7206" t="s">
        <v>5782</v>
      </c>
      <c r="B7206" t="s">
        <v>1</v>
      </c>
    </row>
    <row r="7207" spans="1:2" x14ac:dyDescent="0.3">
      <c r="B7207" t="s">
        <v>72</v>
      </c>
    </row>
    <row r="7208" spans="1:2" x14ac:dyDescent="0.3">
      <c r="A7208" t="s">
        <v>5783</v>
      </c>
      <c r="B7208" t="s">
        <v>1</v>
      </c>
    </row>
    <row r="7209" spans="1:2" x14ac:dyDescent="0.3">
      <c r="B7209" t="s">
        <v>1</v>
      </c>
    </row>
    <row r="7210" spans="1:2" x14ac:dyDescent="0.3">
      <c r="B7210" t="s">
        <v>176</v>
      </c>
    </row>
    <row r="7211" spans="1:2" x14ac:dyDescent="0.3">
      <c r="A7211" t="s">
        <v>5784</v>
      </c>
      <c r="B7211" t="s">
        <v>1</v>
      </c>
    </row>
    <row r="7212" spans="1:2" x14ac:dyDescent="0.3">
      <c r="B7212" t="s">
        <v>182</v>
      </c>
    </row>
    <row r="7213" spans="1:2" x14ac:dyDescent="0.3">
      <c r="B7213" t="s">
        <v>182</v>
      </c>
    </row>
    <row r="7214" spans="1:2" x14ac:dyDescent="0.3">
      <c r="A7214" t="s">
        <v>5785</v>
      </c>
      <c r="B7214" t="s">
        <v>1</v>
      </c>
    </row>
    <row r="7215" spans="1:2" x14ac:dyDescent="0.3">
      <c r="A7215" t="s">
        <v>5786</v>
      </c>
      <c r="B7215" t="s">
        <v>1</v>
      </c>
    </row>
    <row r="7216" spans="1:2" x14ac:dyDescent="0.3">
      <c r="A7216" t="s">
        <v>5787</v>
      </c>
      <c r="B7216" t="s">
        <v>1</v>
      </c>
    </row>
    <row r="7217" spans="1:2" x14ac:dyDescent="0.3">
      <c r="A7217" t="s">
        <v>8</v>
      </c>
      <c r="B7217" t="s">
        <v>1</v>
      </c>
    </row>
    <row r="7218" spans="1:2" x14ac:dyDescent="0.3">
      <c r="A7218" t="s">
        <v>5788</v>
      </c>
      <c r="B7218" t="s">
        <v>1</v>
      </c>
    </row>
    <row r="7219" spans="1:2" x14ac:dyDescent="0.3">
      <c r="A7219" t="s">
        <v>5789</v>
      </c>
      <c r="B7219" t="s">
        <v>1</v>
      </c>
    </row>
    <row r="7220" spans="1:2" x14ac:dyDescent="0.3">
      <c r="B7220" t="s">
        <v>2461</v>
      </c>
    </row>
    <row r="7221" spans="1:2" x14ac:dyDescent="0.3">
      <c r="B7221" t="s">
        <v>2461</v>
      </c>
    </row>
    <row r="7222" spans="1:2" x14ac:dyDescent="0.3">
      <c r="B7222" t="s">
        <v>2461</v>
      </c>
    </row>
    <row r="7223" spans="1:2" x14ac:dyDescent="0.3">
      <c r="A7223" t="s">
        <v>5790</v>
      </c>
      <c r="B7223" t="s">
        <v>1</v>
      </c>
    </row>
    <row r="7224" spans="1:2" x14ac:dyDescent="0.3">
      <c r="A7224" t="s">
        <v>5791</v>
      </c>
      <c r="B7224" t="s">
        <v>1</v>
      </c>
    </row>
    <row r="7225" spans="1:2" x14ac:dyDescent="0.3">
      <c r="A7225" t="s">
        <v>5792</v>
      </c>
      <c r="B7225" t="s">
        <v>1</v>
      </c>
    </row>
    <row r="7226" spans="1:2" x14ac:dyDescent="0.3">
      <c r="B7226" t="s">
        <v>72</v>
      </c>
    </row>
    <row r="7227" spans="1:2" x14ac:dyDescent="0.3">
      <c r="B7227" t="s">
        <v>1821</v>
      </c>
    </row>
    <row r="7228" spans="1:2" x14ac:dyDescent="0.3">
      <c r="A7228" t="s">
        <v>5793</v>
      </c>
      <c r="B7228" t="s">
        <v>1</v>
      </c>
    </row>
    <row r="7229" spans="1:2" x14ac:dyDescent="0.3">
      <c r="B7229" t="s">
        <v>166</v>
      </c>
    </row>
    <row r="7230" spans="1:2" x14ac:dyDescent="0.3">
      <c r="B7230" t="s">
        <v>910</v>
      </c>
    </row>
    <row r="7231" spans="1:2" x14ac:dyDescent="0.3">
      <c r="B7231" t="s">
        <v>166</v>
      </c>
    </row>
    <row r="7232" spans="1:2" x14ac:dyDescent="0.3">
      <c r="A7232" t="s">
        <v>5794</v>
      </c>
      <c r="B7232" t="s">
        <v>1</v>
      </c>
    </row>
    <row r="7233" spans="1:2" x14ac:dyDescent="0.3">
      <c r="A7233" t="s">
        <v>5795</v>
      </c>
      <c r="B7233" t="s">
        <v>172</v>
      </c>
    </row>
    <row r="7234" spans="1:2" x14ac:dyDescent="0.3">
      <c r="A7234" t="s">
        <v>5796</v>
      </c>
      <c r="B7234" t="s">
        <v>1</v>
      </c>
    </row>
    <row r="7235" spans="1:2" x14ac:dyDescent="0.3">
      <c r="B7235" t="s">
        <v>1</v>
      </c>
    </row>
    <row r="7236" spans="1:2" x14ac:dyDescent="0.3">
      <c r="A7236" t="s">
        <v>5797</v>
      </c>
      <c r="B7236" t="s">
        <v>1</v>
      </c>
    </row>
    <row r="7237" spans="1:2" x14ac:dyDescent="0.3">
      <c r="A7237" t="s">
        <v>5798</v>
      </c>
      <c r="B7237" t="s">
        <v>1</v>
      </c>
    </row>
    <row r="7238" spans="1:2" x14ac:dyDescent="0.3">
      <c r="A7238" t="s">
        <v>5799</v>
      </c>
      <c r="B7238" t="s">
        <v>1</v>
      </c>
    </row>
    <row r="7239" spans="1:2" x14ac:dyDescent="0.3">
      <c r="A7239" t="s">
        <v>5800</v>
      </c>
      <c r="B7239" t="s">
        <v>97</v>
      </c>
    </row>
    <row r="7240" spans="1:2" x14ac:dyDescent="0.3">
      <c r="B7240" t="s">
        <v>97</v>
      </c>
    </row>
    <row r="7241" spans="1:2" x14ac:dyDescent="0.3">
      <c r="B7241" t="s">
        <v>72</v>
      </c>
    </row>
    <row r="7242" spans="1:2" x14ac:dyDescent="0.3">
      <c r="B7242" t="s">
        <v>72</v>
      </c>
    </row>
    <row r="7243" spans="1:2" x14ac:dyDescent="0.3">
      <c r="B7243" t="s">
        <v>72</v>
      </c>
    </row>
    <row r="7244" spans="1:2" x14ac:dyDescent="0.3">
      <c r="B7244" t="s">
        <v>72</v>
      </c>
    </row>
    <row r="7245" spans="1:2" x14ac:dyDescent="0.3">
      <c r="B7245" t="s">
        <v>72</v>
      </c>
    </row>
    <row r="7246" spans="1:2" x14ac:dyDescent="0.3">
      <c r="B7246" t="s">
        <v>72</v>
      </c>
    </row>
    <row r="7247" spans="1:2" x14ac:dyDescent="0.3">
      <c r="B7247" t="s">
        <v>72</v>
      </c>
    </row>
    <row r="7248" spans="1:2" x14ac:dyDescent="0.3">
      <c r="B7248" t="s">
        <v>190</v>
      </c>
    </row>
    <row r="7249" spans="1:2" x14ac:dyDescent="0.3">
      <c r="B7249" t="s">
        <v>190</v>
      </c>
    </row>
    <row r="7250" spans="1:2" x14ac:dyDescent="0.3">
      <c r="B7250" t="s">
        <v>72</v>
      </c>
    </row>
    <row r="7251" spans="1:2" x14ac:dyDescent="0.3">
      <c r="B7251" t="s">
        <v>1</v>
      </c>
    </row>
    <row r="7252" spans="1:2" x14ac:dyDescent="0.3">
      <c r="A7252" t="s">
        <v>5801</v>
      </c>
      <c r="B7252" t="s">
        <v>801</v>
      </c>
    </row>
    <row r="7253" spans="1:2" x14ac:dyDescent="0.3">
      <c r="B7253" t="s">
        <v>216</v>
      </c>
    </row>
    <row r="7254" spans="1:2" x14ac:dyDescent="0.3">
      <c r="A7254" t="s">
        <v>5802</v>
      </c>
      <c r="B7254" t="s">
        <v>896</v>
      </c>
    </row>
    <row r="7255" spans="1:2" x14ac:dyDescent="0.3">
      <c r="B7255" t="s">
        <v>190</v>
      </c>
    </row>
    <row r="7256" spans="1:2" x14ac:dyDescent="0.3">
      <c r="B7256" t="s">
        <v>190</v>
      </c>
    </row>
    <row r="7257" spans="1:2" x14ac:dyDescent="0.3">
      <c r="B7257" t="s">
        <v>263</v>
      </c>
    </row>
    <row r="7258" spans="1:2" x14ac:dyDescent="0.3">
      <c r="A7258" t="s">
        <v>5803</v>
      </c>
      <c r="B7258" t="s">
        <v>1</v>
      </c>
    </row>
    <row r="7259" spans="1:2" x14ac:dyDescent="0.3">
      <c r="B7259" t="s">
        <v>72</v>
      </c>
    </row>
    <row r="7260" spans="1:2" x14ac:dyDescent="0.3">
      <c r="B7260" t="s">
        <v>181</v>
      </c>
    </row>
    <row r="7261" spans="1:2" x14ac:dyDescent="0.3">
      <c r="B7261" t="s">
        <v>174</v>
      </c>
    </row>
    <row r="7262" spans="1:2" x14ac:dyDescent="0.3">
      <c r="B7262" t="s">
        <v>166</v>
      </c>
    </row>
    <row r="7263" spans="1:2" x14ac:dyDescent="0.3">
      <c r="B7263" t="s">
        <v>1</v>
      </c>
    </row>
    <row r="7264" spans="1:2" x14ac:dyDescent="0.3">
      <c r="B7264" t="s">
        <v>166</v>
      </c>
    </row>
    <row r="7265" spans="1:2" x14ac:dyDescent="0.3">
      <c r="A7265" t="s">
        <v>5804</v>
      </c>
      <c r="B7265" t="s">
        <v>166</v>
      </c>
    </row>
    <row r="7266" spans="1:2" x14ac:dyDescent="0.3">
      <c r="B7266" t="s">
        <v>171</v>
      </c>
    </row>
    <row r="7267" spans="1:2" x14ac:dyDescent="0.3">
      <c r="A7267" t="s">
        <v>5805</v>
      </c>
      <c r="B7267" t="s">
        <v>172</v>
      </c>
    </row>
    <row r="7268" spans="1:2" x14ac:dyDescent="0.3">
      <c r="A7268" t="s">
        <v>5806</v>
      </c>
      <c r="B7268" t="s">
        <v>216</v>
      </c>
    </row>
    <row r="7269" spans="1:2" x14ac:dyDescent="0.3">
      <c r="A7269" t="s">
        <v>263</v>
      </c>
      <c r="B7269" t="s">
        <v>216</v>
      </c>
    </row>
    <row r="7270" spans="1:2" x14ac:dyDescent="0.3">
      <c r="B7270" t="s">
        <v>170</v>
      </c>
    </row>
    <row r="7271" spans="1:2" x14ac:dyDescent="0.3">
      <c r="B7271" t="s">
        <v>170</v>
      </c>
    </row>
    <row r="7272" spans="1:2" x14ac:dyDescent="0.3">
      <c r="A7272" t="s">
        <v>5807</v>
      </c>
      <c r="B7272" t="s">
        <v>170</v>
      </c>
    </row>
    <row r="7273" spans="1:2" x14ac:dyDescent="0.3">
      <c r="B7273" t="s">
        <v>170</v>
      </c>
    </row>
    <row r="7274" spans="1:2" x14ac:dyDescent="0.3">
      <c r="A7274" t="s">
        <v>5808</v>
      </c>
      <c r="B7274" t="s">
        <v>1</v>
      </c>
    </row>
    <row r="7275" spans="1:2" x14ac:dyDescent="0.3">
      <c r="A7275" t="s">
        <v>5809</v>
      </c>
      <c r="B7275" t="s">
        <v>1</v>
      </c>
    </row>
    <row r="7276" spans="1:2" x14ac:dyDescent="0.3">
      <c r="B7276" t="s">
        <v>1</v>
      </c>
    </row>
    <row r="7277" spans="1:2" x14ac:dyDescent="0.3">
      <c r="B7277" t="s">
        <v>249</v>
      </c>
    </row>
    <row r="7278" spans="1:2" x14ac:dyDescent="0.3">
      <c r="B7278" t="s">
        <v>249</v>
      </c>
    </row>
    <row r="7279" spans="1:2" x14ac:dyDescent="0.3">
      <c r="B7279" t="s">
        <v>249</v>
      </c>
    </row>
    <row r="7280" spans="1:2" x14ac:dyDescent="0.3">
      <c r="B7280" t="s">
        <v>249</v>
      </c>
    </row>
    <row r="7281" spans="1:2" x14ac:dyDescent="0.3">
      <c r="B7281" t="s">
        <v>249</v>
      </c>
    </row>
    <row r="7282" spans="1:2" x14ac:dyDescent="0.3">
      <c r="A7282" t="s">
        <v>5810</v>
      </c>
      <c r="B7282" t="s">
        <v>249</v>
      </c>
    </row>
    <row r="7283" spans="1:2" x14ac:dyDescent="0.3">
      <c r="A7283" t="s">
        <v>5811</v>
      </c>
      <c r="B7283" t="s">
        <v>249</v>
      </c>
    </row>
    <row r="7284" spans="1:2" x14ac:dyDescent="0.3">
      <c r="B7284" t="s">
        <v>249</v>
      </c>
    </row>
    <row r="7285" spans="1:2" x14ac:dyDescent="0.3">
      <c r="B7285" t="s">
        <v>249</v>
      </c>
    </row>
    <row r="7286" spans="1:2" x14ac:dyDescent="0.3">
      <c r="A7286" t="s">
        <v>5812</v>
      </c>
      <c r="B7286" t="s">
        <v>249</v>
      </c>
    </row>
    <row r="7287" spans="1:2" x14ac:dyDescent="0.3">
      <c r="A7287" t="s">
        <v>5813</v>
      </c>
      <c r="B7287" t="s">
        <v>249</v>
      </c>
    </row>
    <row r="7288" spans="1:2" x14ac:dyDescent="0.3">
      <c r="A7288" t="s">
        <v>5814</v>
      </c>
      <c r="B7288" t="s">
        <v>249</v>
      </c>
    </row>
    <row r="7289" spans="1:2" x14ac:dyDescent="0.3">
      <c r="A7289" t="s">
        <v>5815</v>
      </c>
      <c r="B7289" t="s">
        <v>249</v>
      </c>
    </row>
    <row r="7290" spans="1:2" x14ac:dyDescent="0.3">
      <c r="A7290" t="s">
        <v>5816</v>
      </c>
      <c r="B7290" t="s">
        <v>935</v>
      </c>
    </row>
    <row r="7291" spans="1:2" x14ac:dyDescent="0.3">
      <c r="A7291" t="s">
        <v>5817</v>
      </c>
      <c r="B7291" t="s">
        <v>935</v>
      </c>
    </row>
    <row r="7292" spans="1:2" x14ac:dyDescent="0.3">
      <c r="A7292" t="s">
        <v>5818</v>
      </c>
      <c r="B7292" t="s">
        <v>935</v>
      </c>
    </row>
    <row r="7293" spans="1:2" x14ac:dyDescent="0.3">
      <c r="B7293" t="s">
        <v>166</v>
      </c>
    </row>
    <row r="7294" spans="1:2" x14ac:dyDescent="0.3">
      <c r="A7294" t="s">
        <v>5819</v>
      </c>
      <c r="B7294" t="s">
        <v>1</v>
      </c>
    </row>
    <row r="7295" spans="1:2" x14ac:dyDescent="0.3">
      <c r="A7295" t="s">
        <v>5820</v>
      </c>
      <c r="B7295" t="s">
        <v>1</v>
      </c>
    </row>
    <row r="7296" spans="1:2" x14ac:dyDescent="0.3">
      <c r="A7296" t="s">
        <v>5821</v>
      </c>
      <c r="B7296" t="s">
        <v>1</v>
      </c>
    </row>
    <row r="7297" spans="1:2" x14ac:dyDescent="0.3">
      <c r="B7297" t="s">
        <v>1</v>
      </c>
    </row>
    <row r="7298" spans="1:2" x14ac:dyDescent="0.3">
      <c r="B7298" t="s">
        <v>1</v>
      </c>
    </row>
    <row r="7299" spans="1:2" x14ac:dyDescent="0.3">
      <c r="B7299" t="s">
        <v>1</v>
      </c>
    </row>
    <row r="7300" spans="1:2" x14ac:dyDescent="0.3">
      <c r="B7300" t="s">
        <v>172</v>
      </c>
    </row>
    <row r="7301" spans="1:2" x14ac:dyDescent="0.3">
      <c r="B7301" t="s">
        <v>263</v>
      </c>
    </row>
    <row r="7302" spans="1:2" x14ac:dyDescent="0.3">
      <c r="A7302" t="s">
        <v>5822</v>
      </c>
      <c r="B7302" t="s">
        <v>97</v>
      </c>
    </row>
    <row r="7303" spans="1:2" x14ac:dyDescent="0.3">
      <c r="A7303" t="s">
        <v>5823</v>
      </c>
      <c r="B7303" t="s">
        <v>97</v>
      </c>
    </row>
    <row r="7304" spans="1:2" x14ac:dyDescent="0.3">
      <c r="A7304" t="s">
        <v>5824</v>
      </c>
      <c r="B7304" t="s">
        <v>97</v>
      </c>
    </row>
    <row r="7305" spans="1:2" x14ac:dyDescent="0.3">
      <c r="A7305" t="s">
        <v>5825</v>
      </c>
      <c r="B7305" t="s">
        <v>169</v>
      </c>
    </row>
    <row r="7306" spans="1:2" x14ac:dyDescent="0.3">
      <c r="B7306" t="s">
        <v>1</v>
      </c>
    </row>
    <row r="7307" spans="1:2" x14ac:dyDescent="0.3">
      <c r="B7307" t="s">
        <v>1</v>
      </c>
    </row>
    <row r="7308" spans="1:2" x14ac:dyDescent="0.3">
      <c r="B7308" t="s">
        <v>166</v>
      </c>
    </row>
    <row r="7309" spans="1:2" x14ac:dyDescent="0.3">
      <c r="A7309" t="s">
        <v>1689</v>
      </c>
      <c r="B7309" t="s">
        <v>97</v>
      </c>
    </row>
    <row r="7310" spans="1:2" x14ac:dyDescent="0.3">
      <c r="A7310" t="s">
        <v>5826</v>
      </c>
      <c r="B7310" t="s">
        <v>166</v>
      </c>
    </row>
    <row r="7311" spans="1:2" x14ac:dyDescent="0.3">
      <c r="B7311" t="s">
        <v>179</v>
      </c>
    </row>
    <row r="7312" spans="1:2" x14ac:dyDescent="0.3">
      <c r="A7312" t="s">
        <v>5827</v>
      </c>
      <c r="B7312" t="s">
        <v>1</v>
      </c>
    </row>
    <row r="7313" spans="1:2" x14ac:dyDescent="0.3">
      <c r="A7313" t="s">
        <v>5828</v>
      </c>
      <c r="B7313" t="s">
        <v>1</v>
      </c>
    </row>
    <row r="7314" spans="1:2" x14ac:dyDescent="0.3">
      <c r="A7314" t="s">
        <v>5829</v>
      </c>
      <c r="B7314" t="s">
        <v>1</v>
      </c>
    </row>
    <row r="7315" spans="1:2" x14ac:dyDescent="0.3">
      <c r="B7315" t="s">
        <v>166</v>
      </c>
    </row>
    <row r="7316" spans="1:2" x14ac:dyDescent="0.3">
      <c r="B7316" t="s">
        <v>166</v>
      </c>
    </row>
    <row r="7317" spans="1:2" x14ac:dyDescent="0.3">
      <c r="A7317" t="s">
        <v>5830</v>
      </c>
      <c r="B7317" t="s">
        <v>1</v>
      </c>
    </row>
    <row r="7318" spans="1:2" x14ac:dyDescent="0.3">
      <c r="A7318" t="s">
        <v>10</v>
      </c>
      <c r="B7318" t="s">
        <v>1</v>
      </c>
    </row>
    <row r="7319" spans="1:2" x14ac:dyDescent="0.3">
      <c r="A7319" t="s">
        <v>5831</v>
      </c>
      <c r="B7319" t="s">
        <v>72</v>
      </c>
    </row>
    <row r="7320" spans="1:2" x14ac:dyDescent="0.3">
      <c r="A7320" t="s">
        <v>5832</v>
      </c>
      <c r="B7320" t="s">
        <v>72</v>
      </c>
    </row>
    <row r="7321" spans="1:2" x14ac:dyDescent="0.3">
      <c r="B7321" t="s">
        <v>179</v>
      </c>
    </row>
    <row r="7322" spans="1:2" x14ac:dyDescent="0.3">
      <c r="B7322" t="s">
        <v>169</v>
      </c>
    </row>
    <row r="7323" spans="1:2" x14ac:dyDescent="0.3">
      <c r="B7323" t="s">
        <v>888</v>
      </c>
    </row>
    <row r="7324" spans="1:2" x14ac:dyDescent="0.3">
      <c r="B7324" t="s">
        <v>888</v>
      </c>
    </row>
    <row r="7325" spans="1:2" x14ac:dyDescent="0.3">
      <c r="B7325" t="s">
        <v>910</v>
      </c>
    </row>
    <row r="7326" spans="1:2" x14ac:dyDescent="0.3">
      <c r="B7326" t="s">
        <v>910</v>
      </c>
    </row>
    <row r="7327" spans="1:2" x14ac:dyDescent="0.3">
      <c r="B7327" t="s">
        <v>176</v>
      </c>
    </row>
    <row r="7328" spans="1:2" x14ac:dyDescent="0.3">
      <c r="B7328" t="s">
        <v>176</v>
      </c>
    </row>
    <row r="7329" spans="1:2" x14ac:dyDescent="0.3">
      <c r="A7329" t="s">
        <v>5833</v>
      </c>
      <c r="B7329" t="s">
        <v>1</v>
      </c>
    </row>
    <row r="7330" spans="1:2" x14ac:dyDescent="0.3">
      <c r="B7330" t="s">
        <v>249</v>
      </c>
    </row>
    <row r="7331" spans="1:2" x14ac:dyDescent="0.3">
      <c r="A7331" t="s">
        <v>5834</v>
      </c>
      <c r="B7331" t="s">
        <v>2149</v>
      </c>
    </row>
    <row r="7332" spans="1:2" x14ac:dyDescent="0.3">
      <c r="A7332" t="s">
        <v>5835</v>
      </c>
      <c r="B7332" t="s">
        <v>2149</v>
      </c>
    </row>
    <row r="7333" spans="1:2" x14ac:dyDescent="0.3">
      <c r="A7333" t="s">
        <v>5836</v>
      </c>
      <c r="B7333" t="s">
        <v>1</v>
      </c>
    </row>
    <row r="7334" spans="1:2" x14ac:dyDescent="0.3">
      <c r="B7334" t="s">
        <v>97</v>
      </c>
    </row>
    <row r="7335" spans="1:2" x14ac:dyDescent="0.3">
      <c r="B7335" t="s">
        <v>72</v>
      </c>
    </row>
    <row r="7336" spans="1:2" x14ac:dyDescent="0.3">
      <c r="B7336" t="s">
        <v>72</v>
      </c>
    </row>
    <row r="7337" spans="1:2" x14ac:dyDescent="0.3">
      <c r="B7337" t="s">
        <v>72</v>
      </c>
    </row>
    <row r="7338" spans="1:2" x14ac:dyDescent="0.3">
      <c r="A7338" t="s">
        <v>5837</v>
      </c>
      <c r="B7338" t="s">
        <v>200</v>
      </c>
    </row>
    <row r="7339" spans="1:2" x14ac:dyDescent="0.3">
      <c r="B7339" t="s">
        <v>200</v>
      </c>
    </row>
    <row r="7340" spans="1:2" x14ac:dyDescent="0.3">
      <c r="A7340" t="s">
        <v>5838</v>
      </c>
      <c r="B7340" t="s">
        <v>72</v>
      </c>
    </row>
    <row r="7341" spans="1:2" x14ac:dyDescent="0.3">
      <c r="A7341" t="s">
        <v>5839</v>
      </c>
      <c r="B7341" t="s">
        <v>1</v>
      </c>
    </row>
    <row r="7342" spans="1:2" x14ac:dyDescent="0.3">
      <c r="A7342" t="s">
        <v>5840</v>
      </c>
      <c r="B7342" t="s">
        <v>1</v>
      </c>
    </row>
    <row r="7343" spans="1:2" x14ac:dyDescent="0.3">
      <c r="A7343" t="s">
        <v>5841</v>
      </c>
      <c r="B7343" t="s">
        <v>1762</v>
      </c>
    </row>
    <row r="7344" spans="1:2" x14ac:dyDescent="0.3">
      <c r="A7344" t="s">
        <v>5842</v>
      </c>
      <c r="B7344" t="s">
        <v>192</v>
      </c>
    </row>
    <row r="7345" spans="1:2" x14ac:dyDescent="0.3">
      <c r="A7345" t="s">
        <v>5843</v>
      </c>
      <c r="B7345" t="s">
        <v>192</v>
      </c>
    </row>
    <row r="7346" spans="1:2" x14ac:dyDescent="0.3">
      <c r="A7346" t="s">
        <v>5844</v>
      </c>
      <c r="B7346" t="s">
        <v>192</v>
      </c>
    </row>
    <row r="7347" spans="1:2" x14ac:dyDescent="0.3">
      <c r="A7347" t="s">
        <v>5845</v>
      </c>
      <c r="B7347" t="s">
        <v>1</v>
      </c>
    </row>
    <row r="7348" spans="1:2" x14ac:dyDescent="0.3">
      <c r="A7348" t="s">
        <v>5846</v>
      </c>
      <c r="B7348" t="s">
        <v>1</v>
      </c>
    </row>
    <row r="7349" spans="1:2" x14ac:dyDescent="0.3">
      <c r="B7349" t="s">
        <v>166</v>
      </c>
    </row>
    <row r="7350" spans="1:2" x14ac:dyDescent="0.3">
      <c r="B7350" t="s">
        <v>166</v>
      </c>
    </row>
    <row r="7351" spans="1:2" x14ac:dyDescent="0.3">
      <c r="A7351" t="s">
        <v>5847</v>
      </c>
      <c r="B7351" t="s">
        <v>176</v>
      </c>
    </row>
    <row r="7352" spans="1:2" x14ac:dyDescent="0.3">
      <c r="A7352" t="s">
        <v>5848</v>
      </c>
      <c r="B7352" t="s">
        <v>166</v>
      </c>
    </row>
    <row r="7353" spans="1:2" x14ac:dyDescent="0.3">
      <c r="A7353" t="s">
        <v>5849</v>
      </c>
      <c r="B7353" t="s">
        <v>1</v>
      </c>
    </row>
    <row r="7354" spans="1:2" x14ac:dyDescent="0.3">
      <c r="A7354" t="s">
        <v>5850</v>
      </c>
      <c r="B7354" t="s">
        <v>1</v>
      </c>
    </row>
    <row r="7355" spans="1:2" x14ac:dyDescent="0.3">
      <c r="A7355" t="s">
        <v>5851</v>
      </c>
      <c r="B7355" t="s">
        <v>896</v>
      </c>
    </row>
    <row r="7356" spans="1:2" x14ac:dyDescent="0.3">
      <c r="A7356" t="s">
        <v>5852</v>
      </c>
      <c r="B7356" t="s">
        <v>896</v>
      </c>
    </row>
    <row r="7357" spans="1:2" x14ac:dyDescent="0.3">
      <c r="B7357" t="s">
        <v>759</v>
      </c>
    </row>
    <row r="7358" spans="1:2" x14ac:dyDescent="0.3">
      <c r="B7358" t="s">
        <v>910</v>
      </c>
    </row>
    <row r="7359" spans="1:2" x14ac:dyDescent="0.3">
      <c r="A7359" t="s">
        <v>5853</v>
      </c>
      <c r="B7359" t="s">
        <v>1</v>
      </c>
    </row>
    <row r="7360" spans="1:2" x14ac:dyDescent="0.3">
      <c r="A7360" t="s">
        <v>5854</v>
      </c>
      <c r="B7360" t="s">
        <v>1</v>
      </c>
    </row>
    <row r="7361" spans="1:2" x14ac:dyDescent="0.3">
      <c r="A7361" t="s">
        <v>5855</v>
      </c>
      <c r="B7361" t="s">
        <v>1</v>
      </c>
    </row>
    <row r="7362" spans="1:2" x14ac:dyDescent="0.3">
      <c r="A7362" t="s">
        <v>5856</v>
      </c>
      <c r="B7362" t="s">
        <v>1</v>
      </c>
    </row>
    <row r="7363" spans="1:2" x14ac:dyDescent="0.3">
      <c r="A7363" t="s">
        <v>5857</v>
      </c>
      <c r="B7363" t="s">
        <v>1</v>
      </c>
    </row>
    <row r="7364" spans="1:2" x14ac:dyDescent="0.3">
      <c r="A7364" t="s">
        <v>5858</v>
      </c>
      <c r="B7364" t="s">
        <v>1</v>
      </c>
    </row>
    <row r="7365" spans="1:2" x14ac:dyDescent="0.3">
      <c r="A7365" t="s">
        <v>5859</v>
      </c>
      <c r="B7365" t="s">
        <v>1</v>
      </c>
    </row>
    <row r="7366" spans="1:2" x14ac:dyDescent="0.3">
      <c r="A7366" t="s">
        <v>5860</v>
      </c>
      <c r="B7366" t="s">
        <v>1</v>
      </c>
    </row>
    <row r="7367" spans="1:2" x14ac:dyDescent="0.3">
      <c r="A7367" t="s">
        <v>5861</v>
      </c>
      <c r="B7367" t="s">
        <v>172</v>
      </c>
    </row>
    <row r="7368" spans="1:2" x14ac:dyDescent="0.3">
      <c r="A7368" t="s">
        <v>5862</v>
      </c>
      <c r="B7368" t="s">
        <v>1</v>
      </c>
    </row>
    <row r="7369" spans="1:2" x14ac:dyDescent="0.3">
      <c r="A7369" t="s">
        <v>5863</v>
      </c>
      <c r="B7369" t="s">
        <v>1</v>
      </c>
    </row>
    <row r="7370" spans="1:2" x14ac:dyDescent="0.3">
      <c r="A7370" t="s">
        <v>5864</v>
      </c>
      <c r="B7370" t="s">
        <v>1</v>
      </c>
    </row>
    <row r="7371" spans="1:2" x14ac:dyDescent="0.3">
      <c r="A7371" t="s">
        <v>5865</v>
      </c>
      <c r="B7371" t="s">
        <v>1</v>
      </c>
    </row>
    <row r="7372" spans="1:2" x14ac:dyDescent="0.3">
      <c r="A7372" t="s">
        <v>5866</v>
      </c>
      <c r="B7372" t="s">
        <v>1</v>
      </c>
    </row>
    <row r="7373" spans="1:2" x14ac:dyDescent="0.3">
      <c r="A7373" t="s">
        <v>5867</v>
      </c>
      <c r="B7373" t="s">
        <v>1</v>
      </c>
    </row>
    <row r="7374" spans="1:2" x14ac:dyDescent="0.3">
      <c r="A7374" t="s">
        <v>5868</v>
      </c>
      <c r="B7374" t="s">
        <v>1</v>
      </c>
    </row>
    <row r="7375" spans="1:2" x14ac:dyDescent="0.3">
      <c r="A7375" t="s">
        <v>5869</v>
      </c>
      <c r="B7375" t="s">
        <v>1</v>
      </c>
    </row>
    <row r="7376" spans="1:2" x14ac:dyDescent="0.3">
      <c r="A7376" t="s">
        <v>5870</v>
      </c>
      <c r="B7376" t="s">
        <v>1</v>
      </c>
    </row>
    <row r="7377" spans="1:2" x14ac:dyDescent="0.3">
      <c r="B7377" t="s">
        <v>169</v>
      </c>
    </row>
    <row r="7378" spans="1:2" x14ac:dyDescent="0.3">
      <c r="B7378" t="s">
        <v>1</v>
      </c>
    </row>
    <row r="7379" spans="1:2" x14ac:dyDescent="0.3">
      <c r="B7379" t="s">
        <v>1</v>
      </c>
    </row>
    <row r="7380" spans="1:2" x14ac:dyDescent="0.3">
      <c r="A7380" t="s">
        <v>921</v>
      </c>
      <c r="B7380" t="s">
        <v>72</v>
      </c>
    </row>
    <row r="7381" spans="1:2" x14ac:dyDescent="0.3">
      <c r="A7381" t="s">
        <v>5871</v>
      </c>
      <c r="B7381" t="s">
        <v>1</v>
      </c>
    </row>
    <row r="7382" spans="1:2" x14ac:dyDescent="0.3">
      <c r="B7382" t="s">
        <v>1</v>
      </c>
    </row>
    <row r="7383" spans="1:2" x14ac:dyDescent="0.3">
      <c r="A7383" t="s">
        <v>5872</v>
      </c>
      <c r="B7383" t="s">
        <v>97</v>
      </c>
    </row>
    <row r="7384" spans="1:2" x14ac:dyDescent="0.3">
      <c r="B7384" t="s">
        <v>72</v>
      </c>
    </row>
    <row r="7385" spans="1:2" x14ac:dyDescent="0.3">
      <c r="A7385" t="s">
        <v>5873</v>
      </c>
      <c r="B7385" t="s">
        <v>1</v>
      </c>
    </row>
    <row r="7386" spans="1:2" x14ac:dyDescent="0.3">
      <c r="B7386" t="s">
        <v>1044</v>
      </c>
    </row>
    <row r="7387" spans="1:2" x14ac:dyDescent="0.3">
      <c r="B7387" t="s">
        <v>171</v>
      </c>
    </row>
    <row r="7388" spans="1:2" x14ac:dyDescent="0.3">
      <c r="B7388" t="s">
        <v>1</v>
      </c>
    </row>
    <row r="7389" spans="1:2" x14ac:dyDescent="0.3">
      <c r="A7389" t="s">
        <v>5874</v>
      </c>
      <c r="B7389" t="s">
        <v>1</v>
      </c>
    </row>
    <row r="7390" spans="1:2" x14ac:dyDescent="0.3">
      <c r="A7390" t="s">
        <v>5875</v>
      </c>
      <c r="B7390" t="s">
        <v>171</v>
      </c>
    </row>
    <row r="7391" spans="1:2" x14ac:dyDescent="0.3">
      <c r="A7391" t="s">
        <v>5876</v>
      </c>
      <c r="B7391" t="s">
        <v>171</v>
      </c>
    </row>
    <row r="7392" spans="1:2" x14ac:dyDescent="0.3">
      <c r="B7392" t="s">
        <v>171</v>
      </c>
    </row>
    <row r="7393" spans="1:2" x14ac:dyDescent="0.3">
      <c r="A7393" t="s">
        <v>5877</v>
      </c>
      <c r="B7393" t="s">
        <v>171</v>
      </c>
    </row>
    <row r="7394" spans="1:2" x14ac:dyDescent="0.3">
      <c r="B7394" t="s">
        <v>1</v>
      </c>
    </row>
    <row r="7395" spans="1:2" x14ac:dyDescent="0.3">
      <c r="A7395" t="s">
        <v>5878</v>
      </c>
      <c r="B7395" t="s">
        <v>1762</v>
      </c>
    </row>
    <row r="7396" spans="1:2" x14ac:dyDescent="0.3">
      <c r="A7396" t="s">
        <v>5879</v>
      </c>
      <c r="B7396" t="s">
        <v>176</v>
      </c>
    </row>
    <row r="7397" spans="1:2" x14ac:dyDescent="0.3">
      <c r="B7397" t="s">
        <v>1</v>
      </c>
    </row>
    <row r="7398" spans="1:2" x14ac:dyDescent="0.3">
      <c r="B7398" t="s">
        <v>249</v>
      </c>
    </row>
    <row r="7399" spans="1:2" x14ac:dyDescent="0.3">
      <c r="B7399" t="s">
        <v>2149</v>
      </c>
    </row>
    <row r="7400" spans="1:2" x14ac:dyDescent="0.3">
      <c r="A7400" t="s">
        <v>5880</v>
      </c>
      <c r="B7400" t="s">
        <v>896</v>
      </c>
    </row>
    <row r="7401" spans="1:2" x14ac:dyDescent="0.3">
      <c r="A7401" t="s">
        <v>5881</v>
      </c>
      <c r="B7401" t="s">
        <v>171</v>
      </c>
    </row>
    <row r="7402" spans="1:2" x14ac:dyDescent="0.3">
      <c r="A7402" t="s">
        <v>5882</v>
      </c>
      <c r="B7402" t="s">
        <v>179</v>
      </c>
    </row>
    <row r="7403" spans="1:2" x14ac:dyDescent="0.3">
      <c r="B7403" t="s">
        <v>1</v>
      </c>
    </row>
    <row r="7404" spans="1:2" x14ac:dyDescent="0.3">
      <c r="A7404" t="s">
        <v>5883</v>
      </c>
      <c r="B7404" t="s">
        <v>1</v>
      </c>
    </row>
    <row r="7405" spans="1:2" x14ac:dyDescent="0.3">
      <c r="B7405" t="s">
        <v>172</v>
      </c>
    </row>
    <row r="7406" spans="1:2" x14ac:dyDescent="0.3">
      <c r="B7406" t="s">
        <v>172</v>
      </c>
    </row>
    <row r="7407" spans="1:2" x14ac:dyDescent="0.3">
      <c r="B7407" t="s">
        <v>191</v>
      </c>
    </row>
    <row r="7408" spans="1:2" x14ac:dyDescent="0.3">
      <c r="A7408" t="s">
        <v>5884</v>
      </c>
      <c r="B7408" t="s">
        <v>1107</v>
      </c>
    </row>
    <row r="7409" spans="1:2" x14ac:dyDescent="0.3">
      <c r="A7409" t="s">
        <v>5885</v>
      </c>
      <c r="B7409" t="s">
        <v>1107</v>
      </c>
    </row>
    <row r="7410" spans="1:2" x14ac:dyDescent="0.3">
      <c r="A7410" t="s">
        <v>5886</v>
      </c>
      <c r="B7410" t="s">
        <v>1107</v>
      </c>
    </row>
    <row r="7411" spans="1:2" x14ac:dyDescent="0.3">
      <c r="B7411" t="s">
        <v>176</v>
      </c>
    </row>
    <row r="7412" spans="1:2" x14ac:dyDescent="0.3">
      <c r="B7412" t="s">
        <v>176</v>
      </c>
    </row>
    <row r="7413" spans="1:2" x14ac:dyDescent="0.3">
      <c r="A7413" t="s">
        <v>5887</v>
      </c>
      <c r="B7413" t="s">
        <v>176</v>
      </c>
    </row>
    <row r="7414" spans="1:2" x14ac:dyDescent="0.3">
      <c r="A7414" t="s">
        <v>5888</v>
      </c>
      <c r="B7414" t="s">
        <v>1176</v>
      </c>
    </row>
    <row r="7415" spans="1:2" x14ac:dyDescent="0.3">
      <c r="A7415" t="s">
        <v>5889</v>
      </c>
      <c r="B7415" t="s">
        <v>171</v>
      </c>
    </row>
    <row r="7416" spans="1:2" x14ac:dyDescent="0.3">
      <c r="A7416" t="s">
        <v>5890</v>
      </c>
      <c r="B7416" t="s">
        <v>171</v>
      </c>
    </row>
    <row r="7417" spans="1:2" x14ac:dyDescent="0.3">
      <c r="A7417" t="s">
        <v>5891</v>
      </c>
      <c r="B7417" t="s">
        <v>179</v>
      </c>
    </row>
    <row r="7418" spans="1:2" x14ac:dyDescent="0.3">
      <c r="A7418" t="s">
        <v>5892</v>
      </c>
      <c r="B7418" t="s">
        <v>1</v>
      </c>
    </row>
    <row r="7419" spans="1:2" x14ac:dyDescent="0.3">
      <c r="A7419" t="s">
        <v>5893</v>
      </c>
      <c r="B7419" t="s">
        <v>1</v>
      </c>
    </row>
    <row r="7420" spans="1:2" x14ac:dyDescent="0.3">
      <c r="A7420" t="s">
        <v>5894</v>
      </c>
      <c r="B7420" t="s">
        <v>195</v>
      </c>
    </row>
    <row r="7421" spans="1:2" x14ac:dyDescent="0.3">
      <c r="B7421" t="s">
        <v>97</v>
      </c>
    </row>
    <row r="7422" spans="1:2" x14ac:dyDescent="0.3">
      <c r="A7422" t="s">
        <v>5895</v>
      </c>
      <c r="B7422" t="s">
        <v>1</v>
      </c>
    </row>
    <row r="7423" spans="1:2" x14ac:dyDescent="0.3">
      <c r="B7423" t="s">
        <v>72</v>
      </c>
    </row>
    <row r="7424" spans="1:2" x14ac:dyDescent="0.3">
      <c r="B7424" t="s">
        <v>72</v>
      </c>
    </row>
    <row r="7425" spans="1:2" x14ac:dyDescent="0.3">
      <c r="B7425" t="s">
        <v>72</v>
      </c>
    </row>
    <row r="7426" spans="1:2" x14ac:dyDescent="0.3">
      <c r="A7426" t="s">
        <v>5896</v>
      </c>
      <c r="B7426" t="s">
        <v>176</v>
      </c>
    </row>
    <row r="7427" spans="1:2" x14ac:dyDescent="0.3">
      <c r="B7427" t="s">
        <v>200</v>
      </c>
    </row>
    <row r="7428" spans="1:2" x14ac:dyDescent="0.3">
      <c r="B7428" t="s">
        <v>72</v>
      </c>
    </row>
    <row r="7429" spans="1:2" x14ac:dyDescent="0.3">
      <c r="B7429" t="s">
        <v>72</v>
      </c>
    </row>
    <row r="7430" spans="1:2" x14ac:dyDescent="0.3">
      <c r="B7430" t="s">
        <v>72</v>
      </c>
    </row>
    <row r="7431" spans="1:2" x14ac:dyDescent="0.3">
      <c r="B7431" t="s">
        <v>2</v>
      </c>
    </row>
    <row r="7432" spans="1:2" x14ac:dyDescent="0.3">
      <c r="A7432" t="s">
        <v>5897</v>
      </c>
      <c r="B7432" t="s">
        <v>1</v>
      </c>
    </row>
    <row r="7433" spans="1:2" x14ac:dyDescent="0.3">
      <c r="B7433" t="s">
        <v>74</v>
      </c>
    </row>
    <row r="7434" spans="1:2" x14ac:dyDescent="0.3">
      <c r="B7434" t="s">
        <v>166</v>
      </c>
    </row>
    <row r="7435" spans="1:2" x14ac:dyDescent="0.3">
      <c r="B7435" t="s">
        <v>228</v>
      </c>
    </row>
    <row r="7436" spans="1:2" x14ac:dyDescent="0.3">
      <c r="B7436" t="s">
        <v>200</v>
      </c>
    </row>
    <row r="7437" spans="1:2" x14ac:dyDescent="0.3">
      <c r="A7437" t="s">
        <v>5898</v>
      </c>
      <c r="B7437" t="s">
        <v>1</v>
      </c>
    </row>
    <row r="7438" spans="1:2" x14ac:dyDescent="0.3">
      <c r="A7438" t="s">
        <v>5899</v>
      </c>
      <c r="B7438" t="s">
        <v>1</v>
      </c>
    </row>
    <row r="7439" spans="1:2" x14ac:dyDescent="0.3">
      <c r="A7439" t="s">
        <v>5900</v>
      </c>
      <c r="B7439" t="s">
        <v>1</v>
      </c>
    </row>
    <row r="7440" spans="1:2" x14ac:dyDescent="0.3">
      <c r="B7440" t="s">
        <v>200</v>
      </c>
    </row>
    <row r="7441" spans="1:2" x14ac:dyDescent="0.3">
      <c r="B7441" t="s">
        <v>200</v>
      </c>
    </row>
    <row r="7442" spans="1:2" x14ac:dyDescent="0.3">
      <c r="A7442" t="s">
        <v>5901</v>
      </c>
      <c r="B7442" t="s">
        <v>1</v>
      </c>
    </row>
    <row r="7443" spans="1:2" x14ac:dyDescent="0.3">
      <c r="A7443" t="s">
        <v>5902</v>
      </c>
      <c r="B7443" t="s">
        <v>1</v>
      </c>
    </row>
    <row r="7444" spans="1:2" x14ac:dyDescent="0.3">
      <c r="A7444" t="s">
        <v>5903</v>
      </c>
      <c r="B7444" t="s">
        <v>176</v>
      </c>
    </row>
    <row r="7445" spans="1:2" x14ac:dyDescent="0.3">
      <c r="A7445" t="s">
        <v>5904</v>
      </c>
      <c r="B7445" t="s">
        <v>1</v>
      </c>
    </row>
    <row r="7446" spans="1:2" x14ac:dyDescent="0.3">
      <c r="B7446" t="s">
        <v>176</v>
      </c>
    </row>
    <row r="7447" spans="1:2" x14ac:dyDescent="0.3">
      <c r="B7447" t="s">
        <v>176</v>
      </c>
    </row>
    <row r="7448" spans="1:2" x14ac:dyDescent="0.3">
      <c r="A7448" t="s">
        <v>5905</v>
      </c>
      <c r="B7448" t="s">
        <v>904</v>
      </c>
    </row>
    <row r="7449" spans="1:2" x14ac:dyDescent="0.3">
      <c r="A7449" t="s">
        <v>5906</v>
      </c>
      <c r="B7449" t="s">
        <v>183</v>
      </c>
    </row>
    <row r="7450" spans="1:2" x14ac:dyDescent="0.3">
      <c r="B7450" t="s">
        <v>72</v>
      </c>
    </row>
    <row r="7451" spans="1:2" x14ac:dyDescent="0.3">
      <c r="B7451" t="s">
        <v>165</v>
      </c>
    </row>
    <row r="7452" spans="1:2" x14ac:dyDescent="0.3">
      <c r="B7452" t="s">
        <v>165</v>
      </c>
    </row>
    <row r="7453" spans="1:2" x14ac:dyDescent="0.3">
      <c r="B7453" t="s">
        <v>102</v>
      </c>
    </row>
    <row r="7454" spans="1:2" x14ac:dyDescent="0.3">
      <c r="B7454" t="s">
        <v>183</v>
      </c>
    </row>
    <row r="7455" spans="1:2" x14ac:dyDescent="0.3">
      <c r="B7455" t="s">
        <v>1176</v>
      </c>
    </row>
    <row r="7456" spans="1:2" x14ac:dyDescent="0.3">
      <c r="A7456" t="s">
        <v>5907</v>
      </c>
      <c r="B7456" t="s">
        <v>1</v>
      </c>
    </row>
    <row r="7457" spans="1:2" x14ac:dyDescent="0.3">
      <c r="A7457" t="s">
        <v>5908</v>
      </c>
      <c r="B7457" t="s">
        <v>176</v>
      </c>
    </row>
    <row r="7458" spans="1:2" x14ac:dyDescent="0.3">
      <c r="B7458" t="s">
        <v>1636</v>
      </c>
    </row>
    <row r="7459" spans="1:2" x14ac:dyDescent="0.3">
      <c r="B7459" t="s">
        <v>1636</v>
      </c>
    </row>
    <row r="7460" spans="1:2" x14ac:dyDescent="0.3">
      <c r="A7460" t="s">
        <v>5909</v>
      </c>
      <c r="B7460" t="s">
        <v>1107</v>
      </c>
    </row>
    <row r="7461" spans="1:2" x14ac:dyDescent="0.3">
      <c r="B7461" t="s">
        <v>1</v>
      </c>
    </row>
    <row r="7462" spans="1:2" x14ac:dyDescent="0.3">
      <c r="A7462" t="s">
        <v>5910</v>
      </c>
      <c r="B7462" t="s">
        <v>97</v>
      </c>
    </row>
    <row r="7463" spans="1:2" x14ac:dyDescent="0.3">
      <c r="B7463" t="s">
        <v>102</v>
      </c>
    </row>
    <row r="7464" spans="1:2" x14ac:dyDescent="0.3">
      <c r="B7464" t="s">
        <v>2</v>
      </c>
    </row>
    <row r="7465" spans="1:2" x14ac:dyDescent="0.3">
      <c r="B7465" t="s">
        <v>102</v>
      </c>
    </row>
    <row r="7466" spans="1:2" x14ac:dyDescent="0.3">
      <c r="B7466" t="s">
        <v>72</v>
      </c>
    </row>
    <row r="7467" spans="1:2" x14ac:dyDescent="0.3">
      <c r="B7467" t="s">
        <v>102</v>
      </c>
    </row>
    <row r="7468" spans="1:2" x14ac:dyDescent="0.3">
      <c r="B7468" t="s">
        <v>1</v>
      </c>
    </row>
    <row r="7469" spans="1:2" x14ac:dyDescent="0.3">
      <c r="B7469" t="s">
        <v>1</v>
      </c>
    </row>
    <row r="7470" spans="1:2" x14ac:dyDescent="0.3">
      <c r="B7470" t="s">
        <v>1</v>
      </c>
    </row>
    <row r="7471" spans="1:2" x14ac:dyDescent="0.3">
      <c r="B7471" t="s">
        <v>1</v>
      </c>
    </row>
    <row r="7472" spans="1:2" x14ac:dyDescent="0.3">
      <c r="A7472" t="s">
        <v>5911</v>
      </c>
      <c r="B7472" t="s">
        <v>172</v>
      </c>
    </row>
    <row r="7473" spans="1:2" x14ac:dyDescent="0.3">
      <c r="A7473" t="s">
        <v>5912</v>
      </c>
      <c r="B7473" t="s">
        <v>1</v>
      </c>
    </row>
    <row r="7474" spans="1:2" x14ac:dyDescent="0.3">
      <c r="B7474" t="s">
        <v>801</v>
      </c>
    </row>
    <row r="7475" spans="1:2" x14ac:dyDescent="0.3">
      <c r="B7475" t="s">
        <v>186</v>
      </c>
    </row>
    <row r="7476" spans="1:2" x14ac:dyDescent="0.3">
      <c r="B7476" t="s">
        <v>179</v>
      </c>
    </row>
    <row r="7477" spans="1:2" x14ac:dyDescent="0.3">
      <c r="B7477" t="s">
        <v>186</v>
      </c>
    </row>
    <row r="7478" spans="1:2" x14ac:dyDescent="0.3">
      <c r="B7478" t="s">
        <v>165</v>
      </c>
    </row>
    <row r="7479" spans="1:2" x14ac:dyDescent="0.3">
      <c r="B7479" t="s">
        <v>165</v>
      </c>
    </row>
    <row r="7480" spans="1:2" x14ac:dyDescent="0.3">
      <c r="B7480" t="s">
        <v>97</v>
      </c>
    </row>
    <row r="7481" spans="1:2" x14ac:dyDescent="0.3">
      <c r="A7481" t="s">
        <v>5913</v>
      </c>
      <c r="B7481" t="s">
        <v>904</v>
      </c>
    </row>
    <row r="7482" spans="1:2" x14ac:dyDescent="0.3">
      <c r="A7482" t="s">
        <v>5914</v>
      </c>
      <c r="B7482" t="s">
        <v>195</v>
      </c>
    </row>
    <row r="7483" spans="1:2" x14ac:dyDescent="0.3">
      <c r="B7483" t="s">
        <v>176</v>
      </c>
    </row>
    <row r="7484" spans="1:2" x14ac:dyDescent="0.3">
      <c r="B7484" t="s">
        <v>176</v>
      </c>
    </row>
    <row r="7485" spans="1:2" x14ac:dyDescent="0.3">
      <c r="B7485" t="s">
        <v>176</v>
      </c>
    </row>
    <row r="7486" spans="1:2" x14ac:dyDescent="0.3">
      <c r="A7486" t="s">
        <v>5915</v>
      </c>
      <c r="B7486" t="s">
        <v>3338</v>
      </c>
    </row>
    <row r="7487" spans="1:2" x14ac:dyDescent="0.3">
      <c r="B7487" t="s">
        <v>176</v>
      </c>
    </row>
    <row r="7488" spans="1:2" x14ac:dyDescent="0.3">
      <c r="B7488" t="s">
        <v>176</v>
      </c>
    </row>
    <row r="7489" spans="1:2" x14ac:dyDescent="0.3">
      <c r="A7489" t="s">
        <v>5916</v>
      </c>
      <c r="B7489" t="s">
        <v>176</v>
      </c>
    </row>
    <row r="7490" spans="1:2" x14ac:dyDescent="0.3">
      <c r="B7490" t="s">
        <v>175</v>
      </c>
    </row>
    <row r="7491" spans="1:2" x14ac:dyDescent="0.3">
      <c r="B7491" t="s">
        <v>896</v>
      </c>
    </row>
    <row r="7492" spans="1:2" x14ac:dyDescent="0.3">
      <c r="A7492" t="s">
        <v>5917</v>
      </c>
      <c r="B7492" t="s">
        <v>166</v>
      </c>
    </row>
    <row r="7493" spans="1:2" x14ac:dyDescent="0.3">
      <c r="A7493" t="s">
        <v>5918</v>
      </c>
      <c r="B7493" t="s">
        <v>1</v>
      </c>
    </row>
    <row r="7494" spans="1:2" x14ac:dyDescent="0.3">
      <c r="A7494" t="s">
        <v>5919</v>
      </c>
      <c r="B7494" t="s">
        <v>176</v>
      </c>
    </row>
    <row r="7495" spans="1:2" x14ac:dyDescent="0.3">
      <c r="B7495" t="s">
        <v>182</v>
      </c>
    </row>
    <row r="7496" spans="1:2" x14ac:dyDescent="0.3">
      <c r="A7496" t="s">
        <v>5920</v>
      </c>
      <c r="B7496" t="s">
        <v>1</v>
      </c>
    </row>
    <row r="7497" spans="1:2" x14ac:dyDescent="0.3">
      <c r="B7497" t="s">
        <v>245</v>
      </c>
    </row>
    <row r="7498" spans="1:2" x14ac:dyDescent="0.3">
      <c r="B7498" t="s">
        <v>176</v>
      </c>
    </row>
    <row r="7499" spans="1:2" x14ac:dyDescent="0.3">
      <c r="B7499" t="s">
        <v>1</v>
      </c>
    </row>
    <row r="7500" spans="1:2" x14ac:dyDescent="0.3">
      <c r="B7500" t="s">
        <v>97</v>
      </c>
    </row>
    <row r="7501" spans="1:2" x14ac:dyDescent="0.3">
      <c r="B7501" t="s">
        <v>166</v>
      </c>
    </row>
    <row r="7502" spans="1:2" x14ac:dyDescent="0.3">
      <c r="B7502" t="s">
        <v>166</v>
      </c>
    </row>
    <row r="7503" spans="1:2" x14ac:dyDescent="0.3">
      <c r="A7503" t="s">
        <v>5921</v>
      </c>
      <c r="B7503" t="s">
        <v>1</v>
      </c>
    </row>
    <row r="7504" spans="1:2" x14ac:dyDescent="0.3">
      <c r="B7504" t="s">
        <v>177</v>
      </c>
    </row>
    <row r="7505" spans="1:2" x14ac:dyDescent="0.3">
      <c r="B7505" t="s">
        <v>177</v>
      </c>
    </row>
    <row r="7506" spans="1:2" x14ac:dyDescent="0.3">
      <c r="B7506" t="s">
        <v>177</v>
      </c>
    </row>
    <row r="7507" spans="1:2" x14ac:dyDescent="0.3">
      <c r="B7507" t="s">
        <v>484</v>
      </c>
    </row>
    <row r="7508" spans="1:2" x14ac:dyDescent="0.3">
      <c r="B7508" t="s">
        <v>183</v>
      </c>
    </row>
    <row r="7509" spans="1:2" x14ac:dyDescent="0.3">
      <c r="B7509" t="s">
        <v>1516</v>
      </c>
    </row>
    <row r="7510" spans="1:2" x14ac:dyDescent="0.3">
      <c r="A7510" t="s">
        <v>5922</v>
      </c>
      <c r="B7510" t="s">
        <v>245</v>
      </c>
    </row>
    <row r="7511" spans="1:2" x14ac:dyDescent="0.3">
      <c r="A7511" t="s">
        <v>5923</v>
      </c>
      <c r="B7511" t="s">
        <v>992</v>
      </c>
    </row>
    <row r="7512" spans="1:2" x14ac:dyDescent="0.3">
      <c r="A7512" t="s">
        <v>5924</v>
      </c>
      <c r="B7512" t="s">
        <v>166</v>
      </c>
    </row>
    <row r="7513" spans="1:2" x14ac:dyDescent="0.3">
      <c r="B7513" t="s">
        <v>1005</v>
      </c>
    </row>
    <row r="7514" spans="1:2" x14ac:dyDescent="0.3">
      <c r="A7514" t="s">
        <v>5925</v>
      </c>
      <c r="B7514" t="s">
        <v>2353</v>
      </c>
    </row>
    <row r="7515" spans="1:2" x14ac:dyDescent="0.3">
      <c r="B7515" t="s">
        <v>2363</v>
      </c>
    </row>
    <row r="7516" spans="1:2" x14ac:dyDescent="0.3">
      <c r="B7516" t="s">
        <v>3197</v>
      </c>
    </row>
    <row r="7517" spans="1:2" x14ac:dyDescent="0.3">
      <c r="A7517" t="s">
        <v>5926</v>
      </c>
      <c r="B7517" t="s">
        <v>2431</v>
      </c>
    </row>
    <row r="7518" spans="1:2" x14ac:dyDescent="0.3">
      <c r="A7518" t="s">
        <v>5927</v>
      </c>
      <c r="B7518" t="s">
        <v>1</v>
      </c>
    </row>
    <row r="7519" spans="1:2" x14ac:dyDescent="0.3">
      <c r="A7519" t="s">
        <v>5928</v>
      </c>
      <c r="B7519" t="s">
        <v>1</v>
      </c>
    </row>
    <row r="7520" spans="1:2" x14ac:dyDescent="0.3">
      <c r="A7520" t="s">
        <v>5929</v>
      </c>
      <c r="B7520" t="s">
        <v>182</v>
      </c>
    </row>
    <row r="7521" spans="1:2" x14ac:dyDescent="0.3">
      <c r="B7521" t="s">
        <v>182</v>
      </c>
    </row>
    <row r="7522" spans="1:2" x14ac:dyDescent="0.3">
      <c r="A7522" t="s">
        <v>5930</v>
      </c>
      <c r="B7522" t="s">
        <v>182</v>
      </c>
    </row>
    <row r="7523" spans="1:2" x14ac:dyDescent="0.3">
      <c r="B7523" t="s">
        <v>171</v>
      </c>
    </row>
    <row r="7524" spans="1:2" x14ac:dyDescent="0.3">
      <c r="B7524" t="s">
        <v>263</v>
      </c>
    </row>
    <row r="7525" spans="1:2" x14ac:dyDescent="0.3">
      <c r="B7525" t="s">
        <v>263</v>
      </c>
    </row>
    <row r="7526" spans="1:2" x14ac:dyDescent="0.3">
      <c r="A7526" t="s">
        <v>5931</v>
      </c>
      <c r="B7526" t="s">
        <v>1</v>
      </c>
    </row>
    <row r="7527" spans="1:2" x14ac:dyDescent="0.3">
      <c r="A7527" t="s">
        <v>5932</v>
      </c>
      <c r="B7527" t="s">
        <v>1</v>
      </c>
    </row>
    <row r="7528" spans="1:2" x14ac:dyDescent="0.3">
      <c r="B7528" t="s">
        <v>189</v>
      </c>
    </row>
    <row r="7529" spans="1:2" x14ac:dyDescent="0.3">
      <c r="A7529" t="s">
        <v>5933</v>
      </c>
      <c r="B7529" t="s">
        <v>74</v>
      </c>
    </row>
    <row r="7530" spans="1:2" x14ac:dyDescent="0.3">
      <c r="A7530" t="s">
        <v>5934</v>
      </c>
      <c r="B7530" t="s">
        <v>74</v>
      </c>
    </row>
    <row r="7531" spans="1:2" x14ac:dyDescent="0.3">
      <c r="A7531" t="s">
        <v>5935</v>
      </c>
      <c r="B7531" t="s">
        <v>139</v>
      </c>
    </row>
    <row r="7532" spans="1:2" x14ac:dyDescent="0.3">
      <c r="B7532" t="s">
        <v>97</v>
      </c>
    </row>
    <row r="7533" spans="1:2" x14ac:dyDescent="0.3">
      <c r="A7533" t="s">
        <v>5936</v>
      </c>
      <c r="B7533" t="s">
        <v>2437</v>
      </c>
    </row>
    <row r="7534" spans="1:2" x14ac:dyDescent="0.3">
      <c r="B7534" t="s">
        <v>191</v>
      </c>
    </row>
    <row r="7535" spans="1:2" x14ac:dyDescent="0.3">
      <c r="B7535" t="s">
        <v>191</v>
      </c>
    </row>
    <row r="7536" spans="1:2" x14ac:dyDescent="0.3">
      <c r="B7536" t="s">
        <v>2208</v>
      </c>
    </row>
    <row r="7537" spans="1:2" x14ac:dyDescent="0.3">
      <c r="B7537" t="s">
        <v>910</v>
      </c>
    </row>
    <row r="7538" spans="1:2" x14ac:dyDescent="0.3">
      <c r="A7538" t="s">
        <v>5937</v>
      </c>
      <c r="B7538" t="s">
        <v>176</v>
      </c>
    </row>
    <row r="7539" spans="1:2" x14ac:dyDescent="0.3">
      <c r="B7539" t="s">
        <v>97</v>
      </c>
    </row>
    <row r="7540" spans="1:2" x14ac:dyDescent="0.3">
      <c r="B7540" t="s">
        <v>180</v>
      </c>
    </row>
    <row r="7541" spans="1:2" x14ac:dyDescent="0.3">
      <c r="A7541" t="s">
        <v>5938</v>
      </c>
      <c r="B7541" t="s">
        <v>176</v>
      </c>
    </row>
    <row r="7542" spans="1:2" x14ac:dyDescent="0.3">
      <c r="A7542" t="s">
        <v>5939</v>
      </c>
      <c r="B7542" t="s">
        <v>97</v>
      </c>
    </row>
    <row r="7543" spans="1:2" x14ac:dyDescent="0.3">
      <c r="B7543" t="s">
        <v>186</v>
      </c>
    </row>
    <row r="7544" spans="1:2" x14ac:dyDescent="0.3">
      <c r="B7544" t="s">
        <v>165</v>
      </c>
    </row>
    <row r="7545" spans="1:2" x14ac:dyDescent="0.3">
      <c r="B7545" t="s">
        <v>97</v>
      </c>
    </row>
    <row r="7546" spans="1:2" x14ac:dyDescent="0.3">
      <c r="A7546" t="s">
        <v>5940</v>
      </c>
      <c r="B7546" t="s">
        <v>176</v>
      </c>
    </row>
    <row r="7547" spans="1:2" x14ac:dyDescent="0.3">
      <c r="A7547" t="s">
        <v>5941</v>
      </c>
      <c r="B7547" t="s">
        <v>171</v>
      </c>
    </row>
    <row r="7548" spans="1:2" x14ac:dyDescent="0.3">
      <c r="A7548" t="s">
        <v>5942</v>
      </c>
      <c r="B7548" t="s">
        <v>1</v>
      </c>
    </row>
    <row r="7549" spans="1:2" x14ac:dyDescent="0.3">
      <c r="A7549" t="s">
        <v>5943</v>
      </c>
      <c r="B7549" t="s">
        <v>1</v>
      </c>
    </row>
    <row r="7550" spans="1:2" x14ac:dyDescent="0.3">
      <c r="A7550" t="s">
        <v>5944</v>
      </c>
      <c r="B7550" t="s">
        <v>1728</v>
      </c>
    </row>
    <row r="7551" spans="1:2" x14ac:dyDescent="0.3">
      <c r="A7551" t="s">
        <v>5945</v>
      </c>
      <c r="B7551" t="s">
        <v>171</v>
      </c>
    </row>
    <row r="7552" spans="1:2" x14ac:dyDescent="0.3">
      <c r="B7552" t="s">
        <v>97</v>
      </c>
    </row>
    <row r="7553" spans="1:2" x14ac:dyDescent="0.3">
      <c r="B7553" t="s">
        <v>165</v>
      </c>
    </row>
    <row r="7554" spans="1:2" x14ac:dyDescent="0.3">
      <c r="B7554" t="s">
        <v>1</v>
      </c>
    </row>
    <row r="7555" spans="1:2" x14ac:dyDescent="0.3">
      <c r="B7555" t="s">
        <v>1</v>
      </c>
    </row>
    <row r="7556" spans="1:2" x14ac:dyDescent="0.3">
      <c r="A7556" t="s">
        <v>5946</v>
      </c>
      <c r="B7556" t="s">
        <v>1</v>
      </c>
    </row>
    <row r="7557" spans="1:2" x14ac:dyDescent="0.3">
      <c r="B7557" t="s">
        <v>759</v>
      </c>
    </row>
    <row r="7558" spans="1:2" x14ac:dyDescent="0.3">
      <c r="B7558" t="s">
        <v>759</v>
      </c>
    </row>
    <row r="7559" spans="1:2" x14ac:dyDescent="0.3">
      <c r="B7559" t="s">
        <v>759</v>
      </c>
    </row>
    <row r="7560" spans="1:2" x14ac:dyDescent="0.3">
      <c r="B7560" t="s">
        <v>97</v>
      </c>
    </row>
    <row r="7561" spans="1:2" x14ac:dyDescent="0.3">
      <c r="A7561" t="s">
        <v>5947</v>
      </c>
      <c r="B7561" t="s">
        <v>171</v>
      </c>
    </row>
    <row r="7562" spans="1:2" x14ac:dyDescent="0.3">
      <c r="A7562" t="s">
        <v>5948</v>
      </c>
      <c r="B7562" t="s">
        <v>171</v>
      </c>
    </row>
    <row r="7563" spans="1:2" x14ac:dyDescent="0.3">
      <c r="A7563" t="s">
        <v>5949</v>
      </c>
      <c r="B7563" t="s">
        <v>171</v>
      </c>
    </row>
    <row r="7564" spans="1:2" x14ac:dyDescent="0.3">
      <c r="A7564" t="s">
        <v>5950</v>
      </c>
      <c r="B7564" t="s">
        <v>285</v>
      </c>
    </row>
    <row r="7565" spans="1:2" x14ac:dyDescent="0.3">
      <c r="A7565" t="s">
        <v>5951</v>
      </c>
      <c r="B7565" t="s">
        <v>171</v>
      </c>
    </row>
    <row r="7566" spans="1:2" x14ac:dyDescent="0.3">
      <c r="B7566" t="s">
        <v>171</v>
      </c>
    </row>
    <row r="7567" spans="1:2" x14ac:dyDescent="0.3">
      <c r="B7567" t="s">
        <v>171</v>
      </c>
    </row>
    <row r="7568" spans="1:2" x14ac:dyDescent="0.3">
      <c r="B7568" t="s">
        <v>171</v>
      </c>
    </row>
    <row r="7569" spans="2:2" x14ac:dyDescent="0.3">
      <c r="B7569" t="s">
        <v>171</v>
      </c>
    </row>
    <row r="7570" spans="2:2" x14ac:dyDescent="0.3">
      <c r="B7570" t="s">
        <v>285</v>
      </c>
    </row>
    <row r="7571" spans="2:2" x14ac:dyDescent="0.3">
      <c r="B7571" t="s">
        <v>171</v>
      </c>
    </row>
    <row r="7572" spans="2:2" x14ac:dyDescent="0.3">
      <c r="B7572" t="s">
        <v>171</v>
      </c>
    </row>
    <row r="7573" spans="2:2" x14ac:dyDescent="0.3">
      <c r="B7573" t="s">
        <v>171</v>
      </c>
    </row>
    <row r="7574" spans="2:2" x14ac:dyDescent="0.3">
      <c r="B7574" t="s">
        <v>171</v>
      </c>
    </row>
    <row r="7575" spans="2:2" x14ac:dyDescent="0.3">
      <c r="B7575" t="s">
        <v>263</v>
      </c>
    </row>
    <row r="7576" spans="2:2" x14ac:dyDescent="0.3">
      <c r="B7576" t="s">
        <v>174</v>
      </c>
    </row>
    <row r="7577" spans="2:2" x14ac:dyDescent="0.3">
      <c r="B7577" t="s">
        <v>174</v>
      </c>
    </row>
    <row r="7578" spans="2:2" x14ac:dyDescent="0.3">
      <c r="B7578" t="s">
        <v>174</v>
      </c>
    </row>
    <row r="7579" spans="2:2" x14ac:dyDescent="0.3">
      <c r="B7579" t="s">
        <v>174</v>
      </c>
    </row>
    <row r="7580" spans="2:2" x14ac:dyDescent="0.3">
      <c r="B7580" t="s">
        <v>1751</v>
      </c>
    </row>
    <row r="7581" spans="2:2" x14ac:dyDescent="0.3">
      <c r="B7581" t="s">
        <v>1751</v>
      </c>
    </row>
    <row r="7582" spans="2:2" x14ac:dyDescent="0.3">
      <c r="B7582" t="s">
        <v>1751</v>
      </c>
    </row>
    <row r="7583" spans="2:2" x14ac:dyDescent="0.3">
      <c r="B7583" t="s">
        <v>1751</v>
      </c>
    </row>
    <row r="7584" spans="2:2" x14ac:dyDescent="0.3">
      <c r="B7584" t="s">
        <v>1751</v>
      </c>
    </row>
    <row r="7585" spans="1:2" x14ac:dyDescent="0.3">
      <c r="B7585" t="s">
        <v>1751</v>
      </c>
    </row>
    <row r="7586" spans="1:2" x14ac:dyDescent="0.3">
      <c r="B7586" t="s">
        <v>1751</v>
      </c>
    </row>
    <row r="7587" spans="1:2" x14ac:dyDescent="0.3">
      <c r="B7587" t="s">
        <v>1751</v>
      </c>
    </row>
    <row r="7588" spans="1:2" x14ac:dyDescent="0.3">
      <c r="B7588" t="s">
        <v>1632</v>
      </c>
    </row>
    <row r="7589" spans="1:2" x14ac:dyDescent="0.3">
      <c r="B7589" t="s">
        <v>196</v>
      </c>
    </row>
    <row r="7590" spans="1:2" x14ac:dyDescent="0.3">
      <c r="B7590" t="s">
        <v>196</v>
      </c>
    </row>
    <row r="7591" spans="1:2" x14ac:dyDescent="0.3">
      <c r="B7591" t="s">
        <v>166</v>
      </c>
    </row>
    <row r="7592" spans="1:2" x14ac:dyDescent="0.3">
      <c r="A7592" t="s">
        <v>5952</v>
      </c>
      <c r="B7592" t="s">
        <v>176</v>
      </c>
    </row>
    <row r="7593" spans="1:2" x14ac:dyDescent="0.3">
      <c r="A7593" t="s">
        <v>5953</v>
      </c>
      <c r="B7593" t="s">
        <v>166</v>
      </c>
    </row>
    <row r="7594" spans="1:2" x14ac:dyDescent="0.3">
      <c r="B7594" t="s">
        <v>1</v>
      </c>
    </row>
    <row r="7595" spans="1:2" x14ac:dyDescent="0.3">
      <c r="B7595" t="s">
        <v>1</v>
      </c>
    </row>
    <row r="7596" spans="1:2" x14ac:dyDescent="0.3">
      <c r="B7596" t="s">
        <v>1</v>
      </c>
    </row>
    <row r="7597" spans="1:2" x14ac:dyDescent="0.3">
      <c r="B7597" t="s">
        <v>1</v>
      </c>
    </row>
    <row r="7598" spans="1:2" x14ac:dyDescent="0.3">
      <c r="B7598" t="s">
        <v>1</v>
      </c>
    </row>
    <row r="7599" spans="1:2" x14ac:dyDescent="0.3">
      <c r="B7599" t="s">
        <v>176</v>
      </c>
    </row>
    <row r="7600" spans="1:2" x14ac:dyDescent="0.3">
      <c r="B7600" t="s">
        <v>176</v>
      </c>
    </row>
    <row r="7601" spans="1:2" x14ac:dyDescent="0.3">
      <c r="B7601" t="s">
        <v>176</v>
      </c>
    </row>
    <row r="7602" spans="1:2" x14ac:dyDescent="0.3">
      <c r="B7602" t="s">
        <v>176</v>
      </c>
    </row>
    <row r="7603" spans="1:2" x14ac:dyDescent="0.3">
      <c r="B7603" t="s">
        <v>166</v>
      </c>
    </row>
    <row r="7604" spans="1:2" x14ac:dyDescent="0.3">
      <c r="B7604" t="s">
        <v>166</v>
      </c>
    </row>
    <row r="7605" spans="1:2" x14ac:dyDescent="0.3">
      <c r="B7605" t="s">
        <v>166</v>
      </c>
    </row>
    <row r="7606" spans="1:2" x14ac:dyDescent="0.3">
      <c r="B7606" t="s">
        <v>166</v>
      </c>
    </row>
    <row r="7607" spans="1:2" x14ac:dyDescent="0.3">
      <c r="B7607" t="s">
        <v>166</v>
      </c>
    </row>
    <row r="7608" spans="1:2" x14ac:dyDescent="0.3">
      <c r="B7608" t="s">
        <v>166</v>
      </c>
    </row>
    <row r="7609" spans="1:2" x14ac:dyDescent="0.3">
      <c r="B7609" t="s">
        <v>166</v>
      </c>
    </row>
    <row r="7610" spans="1:2" x14ac:dyDescent="0.3">
      <c r="A7610" t="s">
        <v>5954</v>
      </c>
      <c r="B7610" t="s">
        <v>103</v>
      </c>
    </row>
    <row r="7611" spans="1:2" x14ac:dyDescent="0.3">
      <c r="A7611" t="s">
        <v>5955</v>
      </c>
      <c r="B7611" t="s">
        <v>103</v>
      </c>
    </row>
    <row r="7612" spans="1:2" x14ac:dyDescent="0.3">
      <c r="A7612" t="s">
        <v>5956</v>
      </c>
      <c r="B7612" t="s">
        <v>103</v>
      </c>
    </row>
    <row r="7613" spans="1:2" x14ac:dyDescent="0.3">
      <c r="B7613" t="s">
        <v>5116</v>
      </c>
    </row>
    <row r="7614" spans="1:2" x14ac:dyDescent="0.3">
      <c r="B7614" t="s">
        <v>5116</v>
      </c>
    </row>
    <row r="7615" spans="1:2" x14ac:dyDescent="0.3">
      <c r="A7615" t="s">
        <v>5957</v>
      </c>
      <c r="B7615" t="s">
        <v>166</v>
      </c>
    </row>
    <row r="7616" spans="1:2" x14ac:dyDescent="0.3">
      <c r="A7616" t="s">
        <v>5958</v>
      </c>
      <c r="B7616" t="s">
        <v>1</v>
      </c>
    </row>
    <row r="7617" spans="1:2" x14ac:dyDescent="0.3">
      <c r="B7617" t="s">
        <v>172</v>
      </c>
    </row>
    <row r="7618" spans="1:2" x14ac:dyDescent="0.3">
      <c r="B7618" t="s">
        <v>172</v>
      </c>
    </row>
    <row r="7619" spans="1:2" x14ac:dyDescent="0.3">
      <c r="B7619" t="s">
        <v>1</v>
      </c>
    </row>
    <row r="7620" spans="1:2" x14ac:dyDescent="0.3">
      <c r="A7620" t="s">
        <v>5959</v>
      </c>
      <c r="B7620" t="s">
        <v>910</v>
      </c>
    </row>
    <row r="7621" spans="1:2" x14ac:dyDescent="0.3">
      <c r="B7621" t="s">
        <v>166</v>
      </c>
    </row>
    <row r="7622" spans="1:2" x14ac:dyDescent="0.3">
      <c r="B7622" t="s">
        <v>1107</v>
      </c>
    </row>
    <row r="7623" spans="1:2" x14ac:dyDescent="0.3">
      <c r="B7623" t="s">
        <v>1107</v>
      </c>
    </row>
    <row r="7624" spans="1:2" x14ac:dyDescent="0.3">
      <c r="B7624" t="s">
        <v>249</v>
      </c>
    </row>
    <row r="7625" spans="1:2" x14ac:dyDescent="0.3">
      <c r="B7625" t="s">
        <v>176</v>
      </c>
    </row>
    <row r="7626" spans="1:2" x14ac:dyDescent="0.3">
      <c r="B7626" t="s">
        <v>176</v>
      </c>
    </row>
    <row r="7627" spans="1:2" x14ac:dyDescent="0.3">
      <c r="A7627" t="s">
        <v>5960</v>
      </c>
      <c r="B7627" t="s">
        <v>1879</v>
      </c>
    </row>
    <row r="7628" spans="1:2" x14ac:dyDescent="0.3">
      <c r="B7628" t="s">
        <v>166</v>
      </c>
    </row>
    <row r="7629" spans="1:2" x14ac:dyDescent="0.3">
      <c r="B7629" t="s">
        <v>166</v>
      </c>
    </row>
    <row r="7630" spans="1:2" x14ac:dyDescent="0.3">
      <c r="B7630" t="s">
        <v>176</v>
      </c>
    </row>
    <row r="7631" spans="1:2" x14ac:dyDescent="0.3">
      <c r="A7631" t="s">
        <v>5961</v>
      </c>
      <c r="B7631" t="s">
        <v>1978</v>
      </c>
    </row>
    <row r="7632" spans="1:2" x14ac:dyDescent="0.3">
      <c r="A7632" t="s">
        <v>5962</v>
      </c>
      <c r="B7632" t="s">
        <v>171</v>
      </c>
    </row>
    <row r="7633" spans="1:2" x14ac:dyDescent="0.3">
      <c r="A7633" t="s">
        <v>5963</v>
      </c>
      <c r="B7633" t="s">
        <v>1</v>
      </c>
    </row>
    <row r="7634" spans="1:2" x14ac:dyDescent="0.3">
      <c r="B7634" t="s">
        <v>1</v>
      </c>
    </row>
    <row r="7635" spans="1:2" x14ac:dyDescent="0.3">
      <c r="A7635" t="s">
        <v>5964</v>
      </c>
      <c r="B7635" t="s">
        <v>171</v>
      </c>
    </row>
    <row r="7636" spans="1:2" x14ac:dyDescent="0.3">
      <c r="B7636" t="s">
        <v>176</v>
      </c>
    </row>
    <row r="7637" spans="1:2" x14ac:dyDescent="0.3">
      <c r="B7637" t="s">
        <v>72</v>
      </c>
    </row>
    <row r="7638" spans="1:2" x14ac:dyDescent="0.3">
      <c r="A7638" t="s">
        <v>5965</v>
      </c>
      <c r="B7638" t="s">
        <v>1</v>
      </c>
    </row>
    <row r="7639" spans="1:2" x14ac:dyDescent="0.3">
      <c r="B7639" t="s">
        <v>72</v>
      </c>
    </row>
    <row r="7640" spans="1:2" x14ac:dyDescent="0.3">
      <c r="B7640" t="s">
        <v>72</v>
      </c>
    </row>
    <row r="7641" spans="1:2" x14ac:dyDescent="0.3">
      <c r="B7641" t="s">
        <v>172</v>
      </c>
    </row>
    <row r="7642" spans="1:2" x14ac:dyDescent="0.3">
      <c r="B7642" t="s">
        <v>163</v>
      </c>
    </row>
    <row r="7643" spans="1:2" x14ac:dyDescent="0.3">
      <c r="B7643" t="s">
        <v>186</v>
      </c>
    </row>
    <row r="7644" spans="1:2" x14ac:dyDescent="0.3">
      <c r="B7644" t="s">
        <v>172</v>
      </c>
    </row>
    <row r="7645" spans="1:2" x14ac:dyDescent="0.3">
      <c r="B7645" t="s">
        <v>172</v>
      </c>
    </row>
    <row r="7646" spans="1:2" x14ac:dyDescent="0.3">
      <c r="B7646" t="s">
        <v>72</v>
      </c>
    </row>
    <row r="7647" spans="1:2" x14ac:dyDescent="0.3">
      <c r="B7647" t="s">
        <v>166</v>
      </c>
    </row>
    <row r="7648" spans="1:2" x14ac:dyDescent="0.3">
      <c r="B7648" t="s">
        <v>1</v>
      </c>
    </row>
    <row r="7649" spans="1:2" x14ac:dyDescent="0.3">
      <c r="A7649" t="s">
        <v>5966</v>
      </c>
      <c r="B7649" t="s">
        <v>1</v>
      </c>
    </row>
    <row r="7650" spans="1:2" x14ac:dyDescent="0.3">
      <c r="B7650" t="s">
        <v>1107</v>
      </c>
    </row>
    <row r="7651" spans="1:2" x14ac:dyDescent="0.3">
      <c r="A7651" t="s">
        <v>5967</v>
      </c>
      <c r="B7651" t="s">
        <v>172</v>
      </c>
    </row>
    <row r="7652" spans="1:2" x14ac:dyDescent="0.3">
      <c r="B7652" t="s">
        <v>165</v>
      </c>
    </row>
    <row r="7653" spans="1:2" x14ac:dyDescent="0.3">
      <c r="B7653" t="s">
        <v>176</v>
      </c>
    </row>
    <row r="7654" spans="1:2" x14ac:dyDescent="0.3">
      <c r="A7654" t="s">
        <v>5968</v>
      </c>
      <c r="B7654" t="s">
        <v>1</v>
      </c>
    </row>
    <row r="7655" spans="1:2" x14ac:dyDescent="0.3">
      <c r="A7655" t="s">
        <v>5969</v>
      </c>
      <c r="B7655" t="s">
        <v>172</v>
      </c>
    </row>
    <row r="7656" spans="1:2" x14ac:dyDescent="0.3">
      <c r="A7656" t="s">
        <v>5970</v>
      </c>
      <c r="B7656" t="s">
        <v>182</v>
      </c>
    </row>
    <row r="7657" spans="1:2" x14ac:dyDescent="0.3">
      <c r="A7657" t="s">
        <v>5971</v>
      </c>
      <c r="B7657" t="s">
        <v>171</v>
      </c>
    </row>
    <row r="7658" spans="1:2" x14ac:dyDescent="0.3">
      <c r="B7658" t="s">
        <v>166</v>
      </c>
    </row>
    <row r="7659" spans="1:2" x14ac:dyDescent="0.3">
      <c r="A7659" t="s">
        <v>5972</v>
      </c>
      <c r="B7659" t="s">
        <v>1115</v>
      </c>
    </row>
    <row r="7660" spans="1:2" x14ac:dyDescent="0.3">
      <c r="B7660" t="s">
        <v>1</v>
      </c>
    </row>
    <row r="7661" spans="1:2" x14ac:dyDescent="0.3">
      <c r="B7661" t="s">
        <v>170</v>
      </c>
    </row>
    <row r="7662" spans="1:2" x14ac:dyDescent="0.3">
      <c r="A7662" t="s">
        <v>5973</v>
      </c>
      <c r="B7662" t="s">
        <v>171</v>
      </c>
    </row>
    <row r="7663" spans="1:2" x14ac:dyDescent="0.3">
      <c r="A7663" t="s">
        <v>5974</v>
      </c>
      <c r="B7663" t="s">
        <v>171</v>
      </c>
    </row>
    <row r="7664" spans="1:2" x14ac:dyDescent="0.3">
      <c r="B7664" t="s">
        <v>176</v>
      </c>
    </row>
    <row r="7665" spans="1:2" x14ac:dyDescent="0.3">
      <c r="B7665" t="s">
        <v>1</v>
      </c>
    </row>
    <row r="7666" spans="1:2" x14ac:dyDescent="0.3">
      <c r="B7666" t="s">
        <v>1</v>
      </c>
    </row>
    <row r="7667" spans="1:2" x14ac:dyDescent="0.3">
      <c r="B7667" t="s">
        <v>72</v>
      </c>
    </row>
    <row r="7668" spans="1:2" x14ac:dyDescent="0.3">
      <c r="B7668" t="s">
        <v>165</v>
      </c>
    </row>
    <row r="7669" spans="1:2" x14ac:dyDescent="0.3">
      <c r="A7669" t="s">
        <v>5975</v>
      </c>
      <c r="B7669" t="s">
        <v>1</v>
      </c>
    </row>
    <row r="7670" spans="1:2" x14ac:dyDescent="0.3">
      <c r="B7670" t="s">
        <v>169</v>
      </c>
    </row>
    <row r="7671" spans="1:2" x14ac:dyDescent="0.3">
      <c r="B7671" t="s">
        <v>1</v>
      </c>
    </row>
    <row r="7672" spans="1:2" x14ac:dyDescent="0.3">
      <c r="B7672" t="s">
        <v>1</v>
      </c>
    </row>
    <row r="7673" spans="1:2" x14ac:dyDescent="0.3">
      <c r="B7673" t="s">
        <v>260</v>
      </c>
    </row>
    <row r="7674" spans="1:2" x14ac:dyDescent="0.3">
      <c r="A7674" t="s">
        <v>5976</v>
      </c>
      <c r="B7674" t="s">
        <v>176</v>
      </c>
    </row>
    <row r="7675" spans="1:2" x14ac:dyDescent="0.3">
      <c r="B7675" t="s">
        <v>139</v>
      </c>
    </row>
    <row r="7676" spans="1:2" x14ac:dyDescent="0.3">
      <c r="B7676" t="s">
        <v>139</v>
      </c>
    </row>
    <row r="7677" spans="1:2" x14ac:dyDescent="0.3">
      <c r="B7677" t="s">
        <v>167</v>
      </c>
    </row>
    <row r="7678" spans="1:2" x14ac:dyDescent="0.3">
      <c r="B7678" t="s">
        <v>172</v>
      </c>
    </row>
    <row r="7679" spans="1:2" x14ac:dyDescent="0.3">
      <c r="B7679" t="s">
        <v>139</v>
      </c>
    </row>
    <row r="7680" spans="1:2" x14ac:dyDescent="0.3">
      <c r="B7680" t="s">
        <v>216</v>
      </c>
    </row>
    <row r="7681" spans="1:2" x14ac:dyDescent="0.3">
      <c r="B7681" t="s">
        <v>166</v>
      </c>
    </row>
    <row r="7682" spans="1:2" x14ac:dyDescent="0.3">
      <c r="B7682" t="s">
        <v>166</v>
      </c>
    </row>
    <row r="7683" spans="1:2" x14ac:dyDescent="0.3">
      <c r="A7683" t="s">
        <v>5977</v>
      </c>
      <c r="B7683" t="s">
        <v>1</v>
      </c>
    </row>
    <row r="7684" spans="1:2" x14ac:dyDescent="0.3">
      <c r="B7684" t="s">
        <v>260</v>
      </c>
    </row>
    <row r="7685" spans="1:2" x14ac:dyDescent="0.3">
      <c r="B7685" t="s">
        <v>1</v>
      </c>
    </row>
    <row r="7686" spans="1:2" x14ac:dyDescent="0.3">
      <c r="B7686" t="s">
        <v>1</v>
      </c>
    </row>
    <row r="7687" spans="1:2" x14ac:dyDescent="0.3">
      <c r="A7687" t="s">
        <v>5978</v>
      </c>
      <c r="B7687" t="s">
        <v>1</v>
      </c>
    </row>
    <row r="7688" spans="1:2" x14ac:dyDescent="0.3">
      <c r="B7688" t="s">
        <v>174</v>
      </c>
    </row>
    <row r="7689" spans="1:2" x14ac:dyDescent="0.3">
      <c r="B7689" t="s">
        <v>174</v>
      </c>
    </row>
    <row r="7690" spans="1:2" x14ac:dyDescent="0.3">
      <c r="A7690" t="s">
        <v>5979</v>
      </c>
      <c r="B7690" t="s">
        <v>896</v>
      </c>
    </row>
    <row r="7691" spans="1:2" x14ac:dyDescent="0.3">
      <c r="B7691" t="s">
        <v>1751</v>
      </c>
    </row>
    <row r="7692" spans="1:2" x14ac:dyDescent="0.3">
      <c r="B7692" t="s">
        <v>228</v>
      </c>
    </row>
    <row r="7693" spans="1:2" x14ac:dyDescent="0.3">
      <c r="A7693" t="s">
        <v>5980</v>
      </c>
      <c r="B7693" t="s">
        <v>1</v>
      </c>
    </row>
    <row r="7694" spans="1:2" x14ac:dyDescent="0.3">
      <c r="A7694" t="s">
        <v>5981</v>
      </c>
      <c r="B7694" t="s">
        <v>171</v>
      </c>
    </row>
    <row r="7695" spans="1:2" x14ac:dyDescent="0.3">
      <c r="A7695" t="s">
        <v>5982</v>
      </c>
      <c r="B7695" t="s">
        <v>1</v>
      </c>
    </row>
    <row r="7696" spans="1:2" x14ac:dyDescent="0.3">
      <c r="B7696" t="s">
        <v>1743</v>
      </c>
    </row>
    <row r="7697" spans="1:2" x14ac:dyDescent="0.3">
      <c r="B7697" t="s">
        <v>1743</v>
      </c>
    </row>
    <row r="7698" spans="1:2" x14ac:dyDescent="0.3">
      <c r="B7698" t="s">
        <v>1743</v>
      </c>
    </row>
    <row r="7699" spans="1:2" x14ac:dyDescent="0.3">
      <c r="A7699" t="s">
        <v>5983</v>
      </c>
      <c r="B7699" t="s">
        <v>1743</v>
      </c>
    </row>
    <row r="7700" spans="1:2" x14ac:dyDescent="0.3">
      <c r="B7700" t="s">
        <v>1</v>
      </c>
    </row>
    <row r="7701" spans="1:2" x14ac:dyDescent="0.3">
      <c r="B7701" t="s">
        <v>166</v>
      </c>
    </row>
    <row r="7702" spans="1:2" x14ac:dyDescent="0.3">
      <c r="A7702" t="s">
        <v>5984</v>
      </c>
      <c r="B7702" t="s">
        <v>896</v>
      </c>
    </row>
    <row r="7703" spans="1:2" x14ac:dyDescent="0.3">
      <c r="B7703" t="s">
        <v>163</v>
      </c>
    </row>
    <row r="7704" spans="1:2" x14ac:dyDescent="0.3">
      <c r="B7704" t="s">
        <v>72</v>
      </c>
    </row>
    <row r="7705" spans="1:2" x14ac:dyDescent="0.3">
      <c r="A7705" t="s">
        <v>5985</v>
      </c>
      <c r="B7705" t="s">
        <v>1</v>
      </c>
    </row>
    <row r="7706" spans="1:2" x14ac:dyDescent="0.3">
      <c r="A7706" t="s">
        <v>5986</v>
      </c>
      <c r="B7706" t="s">
        <v>1</v>
      </c>
    </row>
    <row r="7707" spans="1:2" x14ac:dyDescent="0.3">
      <c r="A7707" t="s">
        <v>5987</v>
      </c>
      <c r="B7707" t="s">
        <v>1</v>
      </c>
    </row>
    <row r="7708" spans="1:2" x14ac:dyDescent="0.3">
      <c r="B7708" t="s">
        <v>72</v>
      </c>
    </row>
    <row r="7709" spans="1:2" x14ac:dyDescent="0.3">
      <c r="B7709" t="s">
        <v>249</v>
      </c>
    </row>
    <row r="7710" spans="1:2" x14ac:dyDescent="0.3">
      <c r="B7710" t="s">
        <v>1</v>
      </c>
    </row>
    <row r="7711" spans="1:2" x14ac:dyDescent="0.3">
      <c r="B7711" t="s">
        <v>1</v>
      </c>
    </row>
    <row r="7712" spans="1:2" x14ac:dyDescent="0.3">
      <c r="B7712" t="s">
        <v>180</v>
      </c>
    </row>
    <row r="7713" spans="1:2" x14ac:dyDescent="0.3">
      <c r="A7713" t="s">
        <v>5988</v>
      </c>
      <c r="B7713" t="s">
        <v>171</v>
      </c>
    </row>
    <row r="7714" spans="1:2" x14ac:dyDescent="0.3">
      <c r="B7714" t="s">
        <v>72</v>
      </c>
    </row>
    <row r="7715" spans="1:2" x14ac:dyDescent="0.3">
      <c r="A7715" t="s">
        <v>5989</v>
      </c>
      <c r="B7715" t="s">
        <v>174</v>
      </c>
    </row>
    <row r="7716" spans="1:2" x14ac:dyDescent="0.3">
      <c r="B7716" t="s">
        <v>182</v>
      </c>
    </row>
    <row r="7717" spans="1:2" x14ac:dyDescent="0.3">
      <c r="B7717" t="s">
        <v>200</v>
      </c>
    </row>
    <row r="7718" spans="1:2" x14ac:dyDescent="0.3">
      <c r="A7718" t="s">
        <v>5990</v>
      </c>
      <c r="B7718" t="s">
        <v>1426</v>
      </c>
    </row>
    <row r="7719" spans="1:2" x14ac:dyDescent="0.3">
      <c r="B7719" t="s">
        <v>165</v>
      </c>
    </row>
    <row r="7720" spans="1:2" x14ac:dyDescent="0.3">
      <c r="B7720" t="s">
        <v>1516</v>
      </c>
    </row>
    <row r="7721" spans="1:2" x14ac:dyDescent="0.3">
      <c r="B7721" t="s">
        <v>169</v>
      </c>
    </row>
    <row r="7722" spans="1:2" x14ac:dyDescent="0.3">
      <c r="B7722" t="s">
        <v>166</v>
      </c>
    </row>
    <row r="7723" spans="1:2" x14ac:dyDescent="0.3">
      <c r="B7723" t="s">
        <v>2324</v>
      </c>
    </row>
    <row r="7724" spans="1:2" x14ac:dyDescent="0.3">
      <c r="B7724" t="s">
        <v>166</v>
      </c>
    </row>
    <row r="7725" spans="1:2" x14ac:dyDescent="0.3">
      <c r="B7725" t="s">
        <v>166</v>
      </c>
    </row>
    <row r="7726" spans="1:2" x14ac:dyDescent="0.3">
      <c r="B7726" t="s">
        <v>2324</v>
      </c>
    </row>
    <row r="7727" spans="1:2" x14ac:dyDescent="0.3">
      <c r="B7727" t="s">
        <v>2324</v>
      </c>
    </row>
    <row r="7728" spans="1:2" x14ac:dyDescent="0.3">
      <c r="B7728" t="s">
        <v>1978</v>
      </c>
    </row>
    <row r="7729" spans="1:2" x14ac:dyDescent="0.3">
      <c r="B7729" t="s">
        <v>166</v>
      </c>
    </row>
    <row r="7730" spans="1:2" x14ac:dyDescent="0.3">
      <c r="B7730" t="s">
        <v>166</v>
      </c>
    </row>
    <row r="7731" spans="1:2" x14ac:dyDescent="0.3">
      <c r="A7731" t="s">
        <v>5991</v>
      </c>
      <c r="B7731" t="s">
        <v>1</v>
      </c>
    </row>
    <row r="7732" spans="1:2" x14ac:dyDescent="0.3">
      <c r="A7732" t="s">
        <v>5992</v>
      </c>
      <c r="B7732" t="s">
        <v>801</v>
      </c>
    </row>
    <row r="7733" spans="1:2" x14ac:dyDescent="0.3">
      <c r="A7733" t="s">
        <v>5993</v>
      </c>
      <c r="B7733" t="s">
        <v>163</v>
      </c>
    </row>
    <row r="7734" spans="1:2" x14ac:dyDescent="0.3">
      <c r="A7734" t="s">
        <v>5994</v>
      </c>
      <c r="B7734" t="s">
        <v>72</v>
      </c>
    </row>
    <row r="7735" spans="1:2" x14ac:dyDescent="0.3">
      <c r="B7735" t="s">
        <v>1107</v>
      </c>
    </row>
    <row r="7736" spans="1:2" x14ac:dyDescent="0.3">
      <c r="B7736" t="s">
        <v>1107</v>
      </c>
    </row>
    <row r="7737" spans="1:2" x14ac:dyDescent="0.3">
      <c r="B7737" t="s">
        <v>1107</v>
      </c>
    </row>
    <row r="7738" spans="1:2" x14ac:dyDescent="0.3">
      <c r="A7738" t="s">
        <v>5995</v>
      </c>
      <c r="B7738" t="s">
        <v>97</v>
      </c>
    </row>
    <row r="7739" spans="1:2" x14ac:dyDescent="0.3">
      <c r="A7739" t="s">
        <v>5996</v>
      </c>
      <c r="B7739" t="s">
        <v>97</v>
      </c>
    </row>
    <row r="7740" spans="1:2" x14ac:dyDescent="0.3">
      <c r="A7740" t="s">
        <v>5997</v>
      </c>
      <c r="B7740" t="s">
        <v>1</v>
      </c>
    </row>
    <row r="7741" spans="1:2" x14ac:dyDescent="0.3">
      <c r="B7741" t="s">
        <v>200</v>
      </c>
    </row>
    <row r="7742" spans="1:2" x14ac:dyDescent="0.3">
      <c r="A7742" t="s">
        <v>5998</v>
      </c>
      <c r="B7742" t="s">
        <v>1694</v>
      </c>
    </row>
    <row r="7743" spans="1:2" x14ac:dyDescent="0.3">
      <c r="B7743" t="s">
        <v>72</v>
      </c>
    </row>
    <row r="7744" spans="1:2" x14ac:dyDescent="0.3">
      <c r="B7744" t="s">
        <v>72</v>
      </c>
    </row>
    <row r="7745" spans="1:2" x14ac:dyDescent="0.3">
      <c r="A7745" t="s">
        <v>5999</v>
      </c>
      <c r="B7745" t="s">
        <v>1</v>
      </c>
    </row>
    <row r="7746" spans="1:2" x14ac:dyDescent="0.3">
      <c r="A7746" t="s">
        <v>6000</v>
      </c>
      <c r="B7746" t="s">
        <v>1</v>
      </c>
    </row>
    <row r="7747" spans="1:2" x14ac:dyDescent="0.3">
      <c r="A7747" t="s">
        <v>6001</v>
      </c>
      <c r="B7747" t="s">
        <v>1</v>
      </c>
    </row>
    <row r="7748" spans="1:2" x14ac:dyDescent="0.3">
      <c r="A7748" t="s">
        <v>6002</v>
      </c>
      <c r="B7748" t="s">
        <v>169</v>
      </c>
    </row>
    <row r="7749" spans="1:2" x14ac:dyDescent="0.3">
      <c r="A7749" t="s">
        <v>6003</v>
      </c>
      <c r="B7749" t="s">
        <v>1</v>
      </c>
    </row>
    <row r="7750" spans="1:2" x14ac:dyDescent="0.3">
      <c r="A7750" t="s">
        <v>6004</v>
      </c>
      <c r="B7750" t="s">
        <v>1</v>
      </c>
    </row>
    <row r="7751" spans="1:2" x14ac:dyDescent="0.3">
      <c r="A7751" t="s">
        <v>6005</v>
      </c>
      <c r="B7751" t="s">
        <v>1</v>
      </c>
    </row>
    <row r="7752" spans="1:2" x14ac:dyDescent="0.3">
      <c r="A7752" t="s">
        <v>6006</v>
      </c>
      <c r="B7752" t="s">
        <v>1</v>
      </c>
    </row>
    <row r="7753" spans="1:2" x14ac:dyDescent="0.3">
      <c r="A7753" t="s">
        <v>6007</v>
      </c>
      <c r="B7753" t="s">
        <v>1</v>
      </c>
    </row>
    <row r="7754" spans="1:2" x14ac:dyDescent="0.3">
      <c r="B7754" t="s">
        <v>1</v>
      </c>
    </row>
    <row r="7755" spans="1:2" x14ac:dyDescent="0.3">
      <c r="A7755" t="s">
        <v>6008</v>
      </c>
      <c r="B7755" t="s">
        <v>1</v>
      </c>
    </row>
    <row r="7756" spans="1:2" x14ac:dyDescent="0.3">
      <c r="A7756" t="s">
        <v>6009</v>
      </c>
      <c r="B7756" t="s">
        <v>1</v>
      </c>
    </row>
    <row r="7757" spans="1:2" x14ac:dyDescent="0.3">
      <c r="A7757" t="s">
        <v>6010</v>
      </c>
      <c r="B7757" t="s">
        <v>1</v>
      </c>
    </row>
    <row r="7758" spans="1:2" x14ac:dyDescent="0.3">
      <c r="A7758" t="s">
        <v>6011</v>
      </c>
      <c r="B7758" t="s">
        <v>1</v>
      </c>
    </row>
    <row r="7759" spans="1:2" x14ac:dyDescent="0.3">
      <c r="B7759" t="s">
        <v>801</v>
      </c>
    </row>
    <row r="7760" spans="1:2" x14ac:dyDescent="0.3">
      <c r="A7760" t="s">
        <v>6012</v>
      </c>
      <c r="B7760" t="s">
        <v>171</v>
      </c>
    </row>
    <row r="7761" spans="1:2" x14ac:dyDescent="0.3">
      <c r="B7761" t="s">
        <v>172</v>
      </c>
    </row>
    <row r="7762" spans="1:2" x14ac:dyDescent="0.3">
      <c r="B7762" t="s">
        <v>172</v>
      </c>
    </row>
    <row r="7763" spans="1:2" x14ac:dyDescent="0.3">
      <c r="B7763" t="s">
        <v>1</v>
      </c>
    </row>
    <row r="7764" spans="1:2" x14ac:dyDescent="0.3">
      <c r="A7764" t="s">
        <v>6013</v>
      </c>
      <c r="B7764" t="s">
        <v>1</v>
      </c>
    </row>
    <row r="7765" spans="1:2" x14ac:dyDescent="0.3">
      <c r="A7765" t="s">
        <v>6014</v>
      </c>
      <c r="B7765" t="s">
        <v>1</v>
      </c>
    </row>
    <row r="7766" spans="1:2" x14ac:dyDescent="0.3">
      <c r="A7766" t="s">
        <v>6015</v>
      </c>
      <c r="B7766" t="s">
        <v>1</v>
      </c>
    </row>
    <row r="7767" spans="1:2" x14ac:dyDescent="0.3">
      <c r="A7767" t="s">
        <v>6016</v>
      </c>
      <c r="B7767" t="s">
        <v>1</v>
      </c>
    </row>
    <row r="7768" spans="1:2" x14ac:dyDescent="0.3">
      <c r="A7768" t="s">
        <v>6017</v>
      </c>
      <c r="B7768" t="s">
        <v>3338</v>
      </c>
    </row>
    <row r="7769" spans="1:2" x14ac:dyDescent="0.3">
      <c r="B7769" t="s">
        <v>888</v>
      </c>
    </row>
    <row r="7770" spans="1:2" x14ac:dyDescent="0.3">
      <c r="A7770" t="s">
        <v>6018</v>
      </c>
      <c r="B7770" t="s">
        <v>2431</v>
      </c>
    </row>
    <row r="7771" spans="1:2" x14ac:dyDescent="0.3">
      <c r="A7771" t="s">
        <v>6019</v>
      </c>
      <c r="B7771" t="s">
        <v>2431</v>
      </c>
    </row>
    <row r="7772" spans="1:2" x14ac:dyDescent="0.3">
      <c r="B7772" t="s">
        <v>189</v>
      </c>
    </row>
    <row r="7773" spans="1:2" x14ac:dyDescent="0.3">
      <c r="B7773" t="s">
        <v>190</v>
      </c>
    </row>
    <row r="7774" spans="1:2" x14ac:dyDescent="0.3">
      <c r="B7774" t="s">
        <v>171</v>
      </c>
    </row>
    <row r="7775" spans="1:2" x14ac:dyDescent="0.3">
      <c r="B7775" t="s">
        <v>1632</v>
      </c>
    </row>
    <row r="7776" spans="1:2" x14ac:dyDescent="0.3">
      <c r="B7776" t="s">
        <v>1632</v>
      </c>
    </row>
    <row r="7777" spans="1:2" x14ac:dyDescent="0.3">
      <c r="B7777" t="s">
        <v>1632</v>
      </c>
    </row>
    <row r="7778" spans="1:2" x14ac:dyDescent="0.3">
      <c r="B7778" t="s">
        <v>1632</v>
      </c>
    </row>
    <row r="7779" spans="1:2" x14ac:dyDescent="0.3">
      <c r="B7779" t="s">
        <v>1632</v>
      </c>
    </row>
    <row r="7780" spans="1:2" x14ac:dyDescent="0.3">
      <c r="B7780" t="s">
        <v>1632</v>
      </c>
    </row>
    <row r="7781" spans="1:2" x14ac:dyDescent="0.3">
      <c r="B7781" t="s">
        <v>1632</v>
      </c>
    </row>
    <row r="7782" spans="1:2" x14ac:dyDescent="0.3">
      <c r="B7782" t="s">
        <v>261</v>
      </c>
    </row>
    <row r="7783" spans="1:2" x14ac:dyDescent="0.3">
      <c r="B7783" t="s">
        <v>176</v>
      </c>
    </row>
    <row r="7784" spans="1:2" x14ac:dyDescent="0.3">
      <c r="B7784" t="s">
        <v>2469</v>
      </c>
    </row>
    <row r="7785" spans="1:2" x14ac:dyDescent="0.3">
      <c r="A7785" t="s">
        <v>6020</v>
      </c>
      <c r="B7785" t="s">
        <v>249</v>
      </c>
    </row>
    <row r="7786" spans="1:2" x14ac:dyDescent="0.3">
      <c r="B7786" t="s">
        <v>1107</v>
      </c>
    </row>
    <row r="7787" spans="1:2" x14ac:dyDescent="0.3">
      <c r="B7787" t="s">
        <v>1107</v>
      </c>
    </row>
    <row r="7788" spans="1:2" x14ac:dyDescent="0.3">
      <c r="A7788" t="s">
        <v>6021</v>
      </c>
      <c r="B7788" t="s">
        <v>1</v>
      </c>
    </row>
    <row r="7789" spans="1:2" x14ac:dyDescent="0.3">
      <c r="B7789" t="s">
        <v>97</v>
      </c>
    </row>
    <row r="7790" spans="1:2" x14ac:dyDescent="0.3">
      <c r="B7790" t="s">
        <v>172</v>
      </c>
    </row>
    <row r="7791" spans="1:2" x14ac:dyDescent="0.3">
      <c r="B7791" t="s">
        <v>172</v>
      </c>
    </row>
    <row r="7792" spans="1:2" x14ac:dyDescent="0.3">
      <c r="A7792" t="s">
        <v>6022</v>
      </c>
      <c r="B7792" t="s">
        <v>1</v>
      </c>
    </row>
    <row r="7793" spans="1:2" x14ac:dyDescent="0.3">
      <c r="A7793" t="s">
        <v>6023</v>
      </c>
      <c r="B7793" t="s">
        <v>1</v>
      </c>
    </row>
    <row r="7794" spans="1:2" x14ac:dyDescent="0.3">
      <c r="A7794" t="s">
        <v>24</v>
      </c>
      <c r="B7794" t="s">
        <v>282</v>
      </c>
    </row>
    <row r="7795" spans="1:2" x14ac:dyDescent="0.3">
      <c r="A7795" t="s">
        <v>6024</v>
      </c>
      <c r="B7795" t="s">
        <v>1</v>
      </c>
    </row>
    <row r="7796" spans="1:2" x14ac:dyDescent="0.3">
      <c r="A7796" t="s">
        <v>6025</v>
      </c>
      <c r="B7796" t="s">
        <v>2431</v>
      </c>
    </row>
    <row r="7797" spans="1:2" x14ac:dyDescent="0.3">
      <c r="A7797" t="s">
        <v>6026</v>
      </c>
      <c r="B7797" t="s">
        <v>186</v>
      </c>
    </row>
    <row r="7798" spans="1:2" x14ac:dyDescent="0.3">
      <c r="B7798" t="s">
        <v>172</v>
      </c>
    </row>
    <row r="7799" spans="1:2" x14ac:dyDescent="0.3">
      <c r="A7799" t="s">
        <v>6027</v>
      </c>
      <c r="B7799" t="s">
        <v>72</v>
      </c>
    </row>
    <row r="7800" spans="1:2" x14ac:dyDescent="0.3">
      <c r="A7800" t="s">
        <v>6028</v>
      </c>
      <c r="B7800" t="s">
        <v>175</v>
      </c>
    </row>
    <row r="7801" spans="1:2" x14ac:dyDescent="0.3">
      <c r="B7801" t="s">
        <v>1</v>
      </c>
    </row>
    <row r="7802" spans="1:2" x14ac:dyDescent="0.3">
      <c r="B7802" t="s">
        <v>1107</v>
      </c>
    </row>
    <row r="7803" spans="1:2" x14ac:dyDescent="0.3">
      <c r="A7803" t="s">
        <v>6029</v>
      </c>
      <c r="B7803" t="s">
        <v>172</v>
      </c>
    </row>
    <row r="7804" spans="1:2" x14ac:dyDescent="0.3">
      <c r="A7804" t="s">
        <v>6030</v>
      </c>
      <c r="B7804" t="s">
        <v>172</v>
      </c>
    </row>
    <row r="7805" spans="1:2" x14ac:dyDescent="0.3">
      <c r="A7805" t="s">
        <v>6031</v>
      </c>
      <c r="B7805" t="s">
        <v>172</v>
      </c>
    </row>
    <row r="7806" spans="1:2" x14ac:dyDescent="0.3">
      <c r="A7806" t="s">
        <v>6032</v>
      </c>
      <c r="B7806" t="s">
        <v>172</v>
      </c>
    </row>
    <row r="7807" spans="1:2" x14ac:dyDescent="0.3">
      <c r="A7807" t="s">
        <v>6033</v>
      </c>
      <c r="B7807" t="s">
        <v>172</v>
      </c>
    </row>
    <row r="7808" spans="1:2" x14ac:dyDescent="0.3">
      <c r="A7808" t="s">
        <v>6034</v>
      </c>
      <c r="B7808" t="s">
        <v>172</v>
      </c>
    </row>
    <row r="7809" spans="1:2" x14ac:dyDescent="0.3">
      <c r="A7809" t="s">
        <v>6035</v>
      </c>
      <c r="B7809" t="s">
        <v>1</v>
      </c>
    </row>
    <row r="7810" spans="1:2" x14ac:dyDescent="0.3">
      <c r="B7810" t="s">
        <v>172</v>
      </c>
    </row>
    <row r="7811" spans="1:2" x14ac:dyDescent="0.3">
      <c r="B7811" t="s">
        <v>172</v>
      </c>
    </row>
    <row r="7812" spans="1:2" x14ac:dyDescent="0.3">
      <c r="B7812" t="s">
        <v>172</v>
      </c>
    </row>
    <row r="7813" spans="1:2" x14ac:dyDescent="0.3">
      <c r="A7813" t="s">
        <v>6036</v>
      </c>
      <c r="B7813" t="s">
        <v>172</v>
      </c>
    </row>
    <row r="7814" spans="1:2" x14ac:dyDescent="0.3">
      <c r="A7814" t="s">
        <v>6037</v>
      </c>
      <c r="B7814" t="s">
        <v>172</v>
      </c>
    </row>
    <row r="7815" spans="1:2" x14ac:dyDescent="0.3">
      <c r="B7815" t="s">
        <v>172</v>
      </c>
    </row>
    <row r="7816" spans="1:2" x14ac:dyDescent="0.3">
      <c r="A7816" t="s">
        <v>6038</v>
      </c>
      <c r="B7816" t="s">
        <v>1</v>
      </c>
    </row>
    <row r="7817" spans="1:2" x14ac:dyDescent="0.3">
      <c r="B7817" t="s">
        <v>921</v>
      </c>
    </row>
    <row r="7818" spans="1:2" x14ac:dyDescent="0.3">
      <c r="A7818" t="s">
        <v>6039</v>
      </c>
      <c r="B7818" t="s">
        <v>1</v>
      </c>
    </row>
    <row r="7819" spans="1:2" x14ac:dyDescent="0.3">
      <c r="B7819" t="s">
        <v>1</v>
      </c>
    </row>
    <row r="7820" spans="1:2" x14ac:dyDescent="0.3">
      <c r="B7820" t="s">
        <v>228</v>
      </c>
    </row>
    <row r="7821" spans="1:2" x14ac:dyDescent="0.3">
      <c r="B7821" t="s">
        <v>176</v>
      </c>
    </row>
    <row r="7822" spans="1:2" x14ac:dyDescent="0.3">
      <c r="B7822" t="s">
        <v>759</v>
      </c>
    </row>
    <row r="7823" spans="1:2" x14ac:dyDescent="0.3">
      <c r="B7823" t="s">
        <v>1</v>
      </c>
    </row>
    <row r="7824" spans="1:2" x14ac:dyDescent="0.3">
      <c r="B7824" t="s">
        <v>1</v>
      </c>
    </row>
    <row r="7825" spans="1:2" x14ac:dyDescent="0.3">
      <c r="B7825" t="s">
        <v>103</v>
      </c>
    </row>
    <row r="7826" spans="1:2" x14ac:dyDescent="0.3">
      <c r="B7826" t="s">
        <v>244</v>
      </c>
    </row>
    <row r="7827" spans="1:2" x14ac:dyDescent="0.3">
      <c r="B7827" t="s">
        <v>2222</v>
      </c>
    </row>
    <row r="7828" spans="1:2" x14ac:dyDescent="0.3">
      <c r="B7828" t="s">
        <v>2222</v>
      </c>
    </row>
    <row r="7829" spans="1:2" x14ac:dyDescent="0.3">
      <c r="B7829" t="s">
        <v>2222</v>
      </c>
    </row>
    <row r="7830" spans="1:2" x14ac:dyDescent="0.3">
      <c r="B7830" t="s">
        <v>2222</v>
      </c>
    </row>
    <row r="7831" spans="1:2" x14ac:dyDescent="0.3">
      <c r="B7831" t="s">
        <v>2222</v>
      </c>
    </row>
    <row r="7832" spans="1:2" x14ac:dyDescent="0.3">
      <c r="B7832" t="s">
        <v>2222</v>
      </c>
    </row>
    <row r="7833" spans="1:2" x14ac:dyDescent="0.3">
      <c r="B7833" t="s">
        <v>2222</v>
      </c>
    </row>
    <row r="7834" spans="1:2" x14ac:dyDescent="0.3">
      <c r="B7834" t="s">
        <v>2</v>
      </c>
    </row>
    <row r="7835" spans="1:2" x14ac:dyDescent="0.3">
      <c r="B7835" t="s">
        <v>2222</v>
      </c>
    </row>
    <row r="7836" spans="1:2" x14ac:dyDescent="0.3">
      <c r="B7836" t="s">
        <v>2222</v>
      </c>
    </row>
    <row r="7837" spans="1:2" x14ac:dyDescent="0.3">
      <c r="B7837" t="s">
        <v>103</v>
      </c>
    </row>
    <row r="7838" spans="1:2" x14ac:dyDescent="0.3">
      <c r="B7838" t="s">
        <v>103</v>
      </c>
    </row>
    <row r="7839" spans="1:2" x14ac:dyDescent="0.3">
      <c r="A7839" t="s">
        <v>6040</v>
      </c>
      <c r="B7839" t="s">
        <v>103</v>
      </c>
    </row>
    <row r="7840" spans="1:2" x14ac:dyDescent="0.3">
      <c r="A7840" t="s">
        <v>6041</v>
      </c>
      <c r="B7840" t="s">
        <v>103</v>
      </c>
    </row>
    <row r="7841" spans="1:2" x14ac:dyDescent="0.3">
      <c r="B7841" t="s">
        <v>888</v>
      </c>
    </row>
    <row r="7842" spans="1:2" x14ac:dyDescent="0.3">
      <c r="B7842" t="s">
        <v>2469</v>
      </c>
    </row>
    <row r="7843" spans="1:2" x14ac:dyDescent="0.3">
      <c r="B7843" t="s">
        <v>97</v>
      </c>
    </row>
    <row r="7844" spans="1:2" x14ac:dyDescent="0.3">
      <c r="B7844" t="s">
        <v>97</v>
      </c>
    </row>
    <row r="7845" spans="1:2" x14ac:dyDescent="0.3">
      <c r="B7845" t="s">
        <v>97</v>
      </c>
    </row>
    <row r="7846" spans="1:2" x14ac:dyDescent="0.3">
      <c r="A7846" t="s">
        <v>6042</v>
      </c>
      <c r="B7846" t="s">
        <v>1</v>
      </c>
    </row>
    <row r="7847" spans="1:2" x14ac:dyDescent="0.3">
      <c r="B7847" t="s">
        <v>2</v>
      </c>
    </row>
    <row r="7848" spans="1:2" x14ac:dyDescent="0.3">
      <c r="B7848" t="s">
        <v>97</v>
      </c>
    </row>
    <row r="7849" spans="1:2" x14ac:dyDescent="0.3">
      <c r="B7849" t="s">
        <v>199</v>
      </c>
    </row>
    <row r="7850" spans="1:2" x14ac:dyDescent="0.3">
      <c r="B7850" t="s">
        <v>199</v>
      </c>
    </row>
    <row r="7851" spans="1:2" x14ac:dyDescent="0.3">
      <c r="B7851" t="s">
        <v>199</v>
      </c>
    </row>
    <row r="7852" spans="1:2" x14ac:dyDescent="0.3">
      <c r="B7852" t="s">
        <v>97</v>
      </c>
    </row>
    <row r="7853" spans="1:2" x14ac:dyDescent="0.3">
      <c r="B7853" t="s">
        <v>97</v>
      </c>
    </row>
    <row r="7854" spans="1:2" x14ac:dyDescent="0.3">
      <c r="B7854" t="s">
        <v>754</v>
      </c>
    </row>
    <row r="7855" spans="1:2" x14ac:dyDescent="0.3">
      <c r="B7855" t="s">
        <v>252</v>
      </c>
    </row>
    <row r="7856" spans="1:2" x14ac:dyDescent="0.3">
      <c r="A7856" t="s">
        <v>6043</v>
      </c>
      <c r="B7856" t="s">
        <v>97</v>
      </c>
    </row>
    <row r="7857" spans="1:2" x14ac:dyDescent="0.3">
      <c r="B7857" t="s">
        <v>247</v>
      </c>
    </row>
    <row r="7858" spans="1:2" x14ac:dyDescent="0.3">
      <c r="B7858" t="s">
        <v>100</v>
      </c>
    </row>
    <row r="7859" spans="1:2" x14ac:dyDescent="0.3">
      <c r="B7859" t="s">
        <v>139</v>
      </c>
    </row>
    <row r="7860" spans="1:2" x14ac:dyDescent="0.3">
      <c r="B7860" t="s">
        <v>2309</v>
      </c>
    </row>
    <row r="7861" spans="1:2" x14ac:dyDescent="0.3">
      <c r="B7861" t="s">
        <v>2303</v>
      </c>
    </row>
    <row r="7862" spans="1:2" x14ac:dyDescent="0.3">
      <c r="B7862" t="s">
        <v>2294</v>
      </c>
    </row>
    <row r="7863" spans="1:2" x14ac:dyDescent="0.3">
      <c r="B7863" t="s">
        <v>167</v>
      </c>
    </row>
    <row r="7864" spans="1:2" x14ac:dyDescent="0.3">
      <c r="B7864" t="s">
        <v>1</v>
      </c>
    </row>
    <row r="7865" spans="1:2" x14ac:dyDescent="0.3">
      <c r="B7865" t="s">
        <v>1</v>
      </c>
    </row>
    <row r="7866" spans="1:2" x14ac:dyDescent="0.3">
      <c r="B7866" t="s">
        <v>172</v>
      </c>
    </row>
    <row r="7867" spans="1:2" x14ac:dyDescent="0.3">
      <c r="B7867" t="s">
        <v>910</v>
      </c>
    </row>
    <row r="7868" spans="1:2" x14ac:dyDescent="0.3">
      <c r="B7868" t="s">
        <v>910</v>
      </c>
    </row>
    <row r="7869" spans="1:2" x14ac:dyDescent="0.3">
      <c r="B7869" t="s">
        <v>201</v>
      </c>
    </row>
    <row r="7870" spans="1:2" x14ac:dyDescent="0.3">
      <c r="B7870" t="s">
        <v>201</v>
      </c>
    </row>
    <row r="7871" spans="1:2" x14ac:dyDescent="0.3">
      <c r="B7871" t="s">
        <v>49</v>
      </c>
    </row>
    <row r="7872" spans="1:2" x14ac:dyDescent="0.3">
      <c r="A7872" t="s">
        <v>6044</v>
      </c>
      <c r="B7872" t="s">
        <v>1</v>
      </c>
    </row>
    <row r="7873" spans="1:2" x14ac:dyDescent="0.3">
      <c r="B7873" t="s">
        <v>1</v>
      </c>
    </row>
    <row r="7874" spans="1:2" x14ac:dyDescent="0.3">
      <c r="B7874" t="s">
        <v>1</v>
      </c>
    </row>
    <row r="7875" spans="1:2" x14ac:dyDescent="0.3">
      <c r="A7875" t="s">
        <v>6045</v>
      </c>
      <c r="B7875" t="s">
        <v>176</v>
      </c>
    </row>
    <row r="7876" spans="1:2" x14ac:dyDescent="0.3">
      <c r="B7876" t="s">
        <v>102</v>
      </c>
    </row>
    <row r="7877" spans="1:2" x14ac:dyDescent="0.3">
      <c r="A7877" t="s">
        <v>6046</v>
      </c>
      <c r="B7877" t="s">
        <v>176</v>
      </c>
    </row>
    <row r="7878" spans="1:2" x14ac:dyDescent="0.3">
      <c r="A7878" t="s">
        <v>6047</v>
      </c>
      <c r="B7878" t="s">
        <v>176</v>
      </c>
    </row>
    <row r="7879" spans="1:2" x14ac:dyDescent="0.3">
      <c r="B7879" t="s">
        <v>1107</v>
      </c>
    </row>
    <row r="7880" spans="1:2" x14ac:dyDescent="0.3">
      <c r="B7880" t="s">
        <v>1107</v>
      </c>
    </row>
    <row r="7881" spans="1:2" x14ac:dyDescent="0.3">
      <c r="B7881" t="s">
        <v>1874</v>
      </c>
    </row>
    <row r="7882" spans="1:2" x14ac:dyDescent="0.3">
      <c r="B7882" t="s">
        <v>166</v>
      </c>
    </row>
    <row r="7883" spans="1:2" x14ac:dyDescent="0.3">
      <c r="A7883" t="s">
        <v>6048</v>
      </c>
      <c r="B7883" t="s">
        <v>1</v>
      </c>
    </row>
    <row r="7884" spans="1:2" x14ac:dyDescent="0.3">
      <c r="B7884" t="s">
        <v>801</v>
      </c>
    </row>
    <row r="7885" spans="1:2" x14ac:dyDescent="0.3">
      <c r="B7885" t="s">
        <v>166</v>
      </c>
    </row>
    <row r="7886" spans="1:2" x14ac:dyDescent="0.3">
      <c r="B7886" t="s">
        <v>166</v>
      </c>
    </row>
    <row r="7887" spans="1:2" x14ac:dyDescent="0.3">
      <c r="B7887" t="s">
        <v>166</v>
      </c>
    </row>
    <row r="7888" spans="1:2" x14ac:dyDescent="0.3">
      <c r="B7888" t="s">
        <v>2670</v>
      </c>
    </row>
    <row r="7889" spans="1:2" x14ac:dyDescent="0.3">
      <c r="B7889" t="s">
        <v>176</v>
      </c>
    </row>
    <row r="7890" spans="1:2" x14ac:dyDescent="0.3">
      <c r="B7890" t="s">
        <v>166</v>
      </c>
    </row>
    <row r="7891" spans="1:2" x14ac:dyDescent="0.3">
      <c r="B7891" t="s">
        <v>1107</v>
      </c>
    </row>
    <row r="7892" spans="1:2" x14ac:dyDescent="0.3">
      <c r="B7892" t="s">
        <v>801</v>
      </c>
    </row>
    <row r="7893" spans="1:2" x14ac:dyDescent="0.3">
      <c r="B7893" t="s">
        <v>801</v>
      </c>
    </row>
    <row r="7894" spans="1:2" x14ac:dyDescent="0.3">
      <c r="A7894" t="s">
        <v>6049</v>
      </c>
      <c r="B7894" t="s">
        <v>165</v>
      </c>
    </row>
    <row r="7895" spans="1:2" x14ac:dyDescent="0.3">
      <c r="B7895" t="s">
        <v>888</v>
      </c>
    </row>
    <row r="7896" spans="1:2" x14ac:dyDescent="0.3">
      <c r="B7896" t="s">
        <v>888</v>
      </c>
    </row>
    <row r="7897" spans="1:2" x14ac:dyDescent="0.3">
      <c r="B7897" t="s">
        <v>888</v>
      </c>
    </row>
    <row r="7898" spans="1:2" x14ac:dyDescent="0.3">
      <c r="B7898" t="s">
        <v>888</v>
      </c>
    </row>
    <row r="7899" spans="1:2" x14ac:dyDescent="0.3">
      <c r="B7899" t="s">
        <v>888</v>
      </c>
    </row>
    <row r="7900" spans="1:2" x14ac:dyDescent="0.3">
      <c r="B7900" t="s">
        <v>1</v>
      </c>
    </row>
    <row r="7901" spans="1:2" x14ac:dyDescent="0.3">
      <c r="B7901" t="s">
        <v>1</v>
      </c>
    </row>
    <row r="7902" spans="1:2" x14ac:dyDescent="0.3">
      <c r="B7902" t="s">
        <v>1</v>
      </c>
    </row>
    <row r="7903" spans="1:2" x14ac:dyDescent="0.3">
      <c r="B7903" t="s">
        <v>1</v>
      </c>
    </row>
    <row r="7904" spans="1:2" x14ac:dyDescent="0.3">
      <c r="B7904" t="s">
        <v>1</v>
      </c>
    </row>
    <row r="7905" spans="1:2" x14ac:dyDescent="0.3">
      <c r="B7905" t="s">
        <v>1</v>
      </c>
    </row>
    <row r="7906" spans="1:2" x14ac:dyDescent="0.3">
      <c r="B7906" t="s">
        <v>1</v>
      </c>
    </row>
    <row r="7907" spans="1:2" x14ac:dyDescent="0.3">
      <c r="B7907" t="s">
        <v>1</v>
      </c>
    </row>
    <row r="7908" spans="1:2" x14ac:dyDescent="0.3">
      <c r="B7908" t="s">
        <v>97</v>
      </c>
    </row>
    <row r="7909" spans="1:2" x14ac:dyDescent="0.3">
      <c r="B7909" t="s">
        <v>1</v>
      </c>
    </row>
    <row r="7910" spans="1:2" x14ac:dyDescent="0.3">
      <c r="B7910" t="s">
        <v>172</v>
      </c>
    </row>
    <row r="7911" spans="1:2" x14ac:dyDescent="0.3">
      <c r="B7911" t="s">
        <v>1</v>
      </c>
    </row>
    <row r="7912" spans="1:2" x14ac:dyDescent="0.3">
      <c r="B7912" t="s">
        <v>172</v>
      </c>
    </row>
    <row r="7913" spans="1:2" x14ac:dyDescent="0.3">
      <c r="B7913" t="s">
        <v>172</v>
      </c>
    </row>
    <row r="7914" spans="1:2" x14ac:dyDescent="0.3">
      <c r="B7914" t="s">
        <v>1</v>
      </c>
    </row>
    <row r="7915" spans="1:2" x14ac:dyDescent="0.3">
      <c r="B7915" t="s">
        <v>1</v>
      </c>
    </row>
    <row r="7916" spans="1:2" x14ac:dyDescent="0.3">
      <c r="A7916" t="s">
        <v>6050</v>
      </c>
      <c r="B7916" t="s">
        <v>1</v>
      </c>
    </row>
    <row r="7917" spans="1:2" x14ac:dyDescent="0.3">
      <c r="B7917" t="s">
        <v>1</v>
      </c>
    </row>
    <row r="7918" spans="1:2" x14ac:dyDescent="0.3">
      <c r="B7918" t="s">
        <v>1</v>
      </c>
    </row>
    <row r="7919" spans="1:2" x14ac:dyDescent="0.3">
      <c r="A7919" t="s">
        <v>6051</v>
      </c>
      <c r="B7919" t="s">
        <v>1</v>
      </c>
    </row>
    <row r="7920" spans="1:2" x14ac:dyDescent="0.3">
      <c r="B7920" t="s">
        <v>1</v>
      </c>
    </row>
    <row r="7921" spans="1:2" x14ac:dyDescent="0.3">
      <c r="A7921" t="s">
        <v>6052</v>
      </c>
      <c r="B7921" t="s">
        <v>1</v>
      </c>
    </row>
    <row r="7922" spans="1:2" x14ac:dyDescent="0.3">
      <c r="A7922" t="s">
        <v>6053</v>
      </c>
      <c r="B7922" t="s">
        <v>97</v>
      </c>
    </row>
    <row r="7923" spans="1:2" x14ac:dyDescent="0.3">
      <c r="A7923" t="s">
        <v>6054</v>
      </c>
      <c r="B7923" t="s">
        <v>97</v>
      </c>
    </row>
    <row r="7924" spans="1:2" x14ac:dyDescent="0.3">
      <c r="A7924" t="s">
        <v>6055</v>
      </c>
      <c r="B7924" t="s">
        <v>97</v>
      </c>
    </row>
    <row r="7925" spans="1:2" x14ac:dyDescent="0.3">
      <c r="B7925" t="s">
        <v>166</v>
      </c>
    </row>
    <row r="7926" spans="1:2" x14ac:dyDescent="0.3">
      <c r="B7926" t="s">
        <v>166</v>
      </c>
    </row>
    <row r="7927" spans="1:2" x14ac:dyDescent="0.3">
      <c r="B7927" t="s">
        <v>166</v>
      </c>
    </row>
    <row r="7928" spans="1:2" x14ac:dyDescent="0.3">
      <c r="B7928" t="s">
        <v>166</v>
      </c>
    </row>
    <row r="7929" spans="1:2" x14ac:dyDescent="0.3">
      <c r="B7929" t="s">
        <v>176</v>
      </c>
    </row>
    <row r="7930" spans="1:2" x14ac:dyDescent="0.3">
      <c r="B7930" t="s">
        <v>176</v>
      </c>
    </row>
    <row r="7931" spans="1:2" x14ac:dyDescent="0.3">
      <c r="B7931" t="s">
        <v>166</v>
      </c>
    </row>
    <row r="7932" spans="1:2" x14ac:dyDescent="0.3">
      <c r="B7932" t="s">
        <v>166</v>
      </c>
    </row>
    <row r="7933" spans="1:2" x14ac:dyDescent="0.3">
      <c r="B7933" t="s">
        <v>172</v>
      </c>
    </row>
    <row r="7934" spans="1:2" x14ac:dyDescent="0.3">
      <c r="B7934" t="s">
        <v>166</v>
      </c>
    </row>
    <row r="7935" spans="1:2" x14ac:dyDescent="0.3">
      <c r="B7935" t="s">
        <v>166</v>
      </c>
    </row>
    <row r="7936" spans="1:2" x14ac:dyDescent="0.3">
      <c r="B7936" t="s">
        <v>166</v>
      </c>
    </row>
    <row r="7937" spans="1:2" x14ac:dyDescent="0.3">
      <c r="B7937" t="s">
        <v>166</v>
      </c>
    </row>
    <row r="7938" spans="1:2" x14ac:dyDescent="0.3">
      <c r="A7938" t="s">
        <v>6056</v>
      </c>
      <c r="B7938" t="s">
        <v>166</v>
      </c>
    </row>
    <row r="7939" spans="1:2" x14ac:dyDescent="0.3">
      <c r="B7939" t="s">
        <v>166</v>
      </c>
    </row>
    <row r="7940" spans="1:2" x14ac:dyDescent="0.3">
      <c r="A7940" t="s">
        <v>6057</v>
      </c>
      <c r="B7940" t="s">
        <v>166</v>
      </c>
    </row>
    <row r="7941" spans="1:2" x14ac:dyDescent="0.3">
      <c r="B7941" t="s">
        <v>166</v>
      </c>
    </row>
    <row r="7942" spans="1:2" x14ac:dyDescent="0.3">
      <c r="B7942" t="s">
        <v>166</v>
      </c>
    </row>
    <row r="7943" spans="1:2" x14ac:dyDescent="0.3">
      <c r="A7943" t="s">
        <v>6058</v>
      </c>
      <c r="B7943" t="s">
        <v>166</v>
      </c>
    </row>
    <row r="7944" spans="1:2" x14ac:dyDescent="0.3">
      <c r="A7944" t="s">
        <v>6059</v>
      </c>
      <c r="B7944" t="s">
        <v>166</v>
      </c>
    </row>
    <row r="7945" spans="1:2" x14ac:dyDescent="0.3">
      <c r="B7945" t="s">
        <v>166</v>
      </c>
    </row>
    <row r="7946" spans="1:2" x14ac:dyDescent="0.3">
      <c r="B7946" t="s">
        <v>166</v>
      </c>
    </row>
    <row r="7947" spans="1:2" x14ac:dyDescent="0.3">
      <c r="B7947" t="s">
        <v>72</v>
      </c>
    </row>
    <row r="7948" spans="1:2" x14ac:dyDescent="0.3">
      <c r="B7948" t="s">
        <v>166</v>
      </c>
    </row>
    <row r="7949" spans="1:2" x14ac:dyDescent="0.3">
      <c r="B7949" t="s">
        <v>166</v>
      </c>
    </row>
    <row r="7950" spans="1:2" x14ac:dyDescent="0.3">
      <c r="B7950" t="s">
        <v>2</v>
      </c>
    </row>
    <row r="7951" spans="1:2" x14ac:dyDescent="0.3">
      <c r="B7951" t="s">
        <v>2</v>
      </c>
    </row>
    <row r="7952" spans="1:2" x14ac:dyDescent="0.3">
      <c r="B7952" t="s">
        <v>72</v>
      </c>
    </row>
    <row r="7953" spans="1:2" x14ac:dyDescent="0.3">
      <c r="A7953" t="s">
        <v>6060</v>
      </c>
      <c r="B7953" t="s">
        <v>176</v>
      </c>
    </row>
    <row r="7954" spans="1:2" x14ac:dyDescent="0.3">
      <c r="A7954" t="s">
        <v>6061</v>
      </c>
      <c r="B7954" t="s">
        <v>1</v>
      </c>
    </row>
    <row r="7955" spans="1:2" x14ac:dyDescent="0.3">
      <c r="A7955" t="s">
        <v>6062</v>
      </c>
      <c r="B7955" t="s">
        <v>2</v>
      </c>
    </row>
    <row r="7956" spans="1:2" x14ac:dyDescent="0.3">
      <c r="A7956" t="s">
        <v>6063</v>
      </c>
      <c r="B7956" t="s">
        <v>182</v>
      </c>
    </row>
    <row r="7957" spans="1:2" x14ac:dyDescent="0.3">
      <c r="A7957" t="s">
        <v>6064</v>
      </c>
      <c r="B7957" t="s">
        <v>1</v>
      </c>
    </row>
    <row r="7958" spans="1:2" x14ac:dyDescent="0.3">
      <c r="A7958" t="s">
        <v>6065</v>
      </c>
      <c r="B7958" t="s">
        <v>3353</v>
      </c>
    </row>
    <row r="7959" spans="1:2" x14ac:dyDescent="0.3">
      <c r="A7959" t="s">
        <v>6066</v>
      </c>
      <c r="B7959" t="s">
        <v>3353</v>
      </c>
    </row>
    <row r="7960" spans="1:2" x14ac:dyDescent="0.3">
      <c r="A7960" t="s">
        <v>6067</v>
      </c>
      <c r="B7960" t="s">
        <v>1534</v>
      </c>
    </row>
    <row r="7961" spans="1:2" x14ac:dyDescent="0.3">
      <c r="A7961" t="s">
        <v>759</v>
      </c>
      <c r="B7961" t="s">
        <v>252</v>
      </c>
    </row>
    <row r="7962" spans="1:2" x14ac:dyDescent="0.3">
      <c r="A7962" t="s">
        <v>6068</v>
      </c>
      <c r="B7962" t="s">
        <v>103</v>
      </c>
    </row>
    <row r="7963" spans="1:2" x14ac:dyDescent="0.3">
      <c r="A7963" t="s">
        <v>6069</v>
      </c>
      <c r="B7963" t="s">
        <v>1</v>
      </c>
    </row>
    <row r="7964" spans="1:2" x14ac:dyDescent="0.3">
      <c r="A7964" t="s">
        <v>6070</v>
      </c>
      <c r="B7964" t="s">
        <v>169</v>
      </c>
    </row>
    <row r="7965" spans="1:2" x14ac:dyDescent="0.3">
      <c r="A7965" t="s">
        <v>6071</v>
      </c>
      <c r="B7965" t="s">
        <v>1</v>
      </c>
    </row>
    <row r="7966" spans="1:2" x14ac:dyDescent="0.3">
      <c r="A7966" t="s">
        <v>6072</v>
      </c>
      <c r="B7966" t="s">
        <v>1</v>
      </c>
    </row>
    <row r="7967" spans="1:2" x14ac:dyDescent="0.3">
      <c r="B7967" t="s">
        <v>2</v>
      </c>
    </row>
    <row r="7968" spans="1:2" x14ac:dyDescent="0.3">
      <c r="B7968" t="s">
        <v>169</v>
      </c>
    </row>
    <row r="7969" spans="1:2" x14ac:dyDescent="0.3">
      <c r="A7969" t="s">
        <v>6073</v>
      </c>
      <c r="B7969" t="s">
        <v>171</v>
      </c>
    </row>
    <row r="7970" spans="1:2" x14ac:dyDescent="0.3">
      <c r="A7970" t="s">
        <v>6074</v>
      </c>
      <c r="B7970" t="s">
        <v>1</v>
      </c>
    </row>
    <row r="7971" spans="1:2" x14ac:dyDescent="0.3">
      <c r="A7971" t="s">
        <v>6075</v>
      </c>
      <c r="B7971" t="s">
        <v>1</v>
      </c>
    </row>
    <row r="7972" spans="1:2" x14ac:dyDescent="0.3">
      <c r="A7972" t="s">
        <v>6076</v>
      </c>
      <c r="B7972" t="s">
        <v>1</v>
      </c>
    </row>
    <row r="7973" spans="1:2" x14ac:dyDescent="0.3">
      <c r="A7973" t="s">
        <v>6077</v>
      </c>
      <c r="B7973" t="s">
        <v>1</v>
      </c>
    </row>
    <row r="7974" spans="1:2" x14ac:dyDescent="0.3">
      <c r="A7974" t="s">
        <v>6078</v>
      </c>
      <c r="B7974" t="s">
        <v>1</v>
      </c>
    </row>
    <row r="7975" spans="1:2" x14ac:dyDescent="0.3">
      <c r="A7975" t="s">
        <v>6079</v>
      </c>
      <c r="B7975" t="s">
        <v>1</v>
      </c>
    </row>
    <row r="7976" spans="1:2" x14ac:dyDescent="0.3">
      <c r="A7976" t="s">
        <v>6080</v>
      </c>
      <c r="B7976" t="s">
        <v>1</v>
      </c>
    </row>
    <row r="7977" spans="1:2" x14ac:dyDescent="0.3">
      <c r="A7977" t="s">
        <v>6081</v>
      </c>
      <c r="B7977" t="s">
        <v>1</v>
      </c>
    </row>
    <row r="7978" spans="1:2" x14ac:dyDescent="0.3">
      <c r="A7978" t="s">
        <v>6082</v>
      </c>
      <c r="B7978" t="s">
        <v>1</v>
      </c>
    </row>
    <row r="7979" spans="1:2" x14ac:dyDescent="0.3">
      <c r="A7979" t="s">
        <v>6083</v>
      </c>
      <c r="B7979" t="s">
        <v>1</v>
      </c>
    </row>
    <row r="7980" spans="1:2" x14ac:dyDescent="0.3">
      <c r="A7980" t="s">
        <v>6084</v>
      </c>
      <c r="B7980" t="s">
        <v>1</v>
      </c>
    </row>
    <row r="7981" spans="1:2" x14ac:dyDescent="0.3">
      <c r="A7981" t="s">
        <v>6085</v>
      </c>
      <c r="B7981" t="s">
        <v>1</v>
      </c>
    </row>
    <row r="7982" spans="1:2" x14ac:dyDescent="0.3">
      <c r="A7982" t="s">
        <v>6086</v>
      </c>
      <c r="B7982" t="s">
        <v>1</v>
      </c>
    </row>
    <row r="7983" spans="1:2" x14ac:dyDescent="0.3">
      <c r="A7983" t="s">
        <v>6087</v>
      </c>
      <c r="B7983" t="s">
        <v>1</v>
      </c>
    </row>
    <row r="7984" spans="1:2" x14ac:dyDescent="0.3">
      <c r="A7984" t="s">
        <v>6088</v>
      </c>
      <c r="B7984" t="s">
        <v>1</v>
      </c>
    </row>
    <row r="7985" spans="1:2" x14ac:dyDescent="0.3">
      <c r="A7985" t="s">
        <v>6089</v>
      </c>
      <c r="B7985" t="s">
        <v>1</v>
      </c>
    </row>
    <row r="7986" spans="1:2" x14ac:dyDescent="0.3">
      <c r="A7986" t="s">
        <v>6090</v>
      </c>
      <c r="B7986" t="s">
        <v>1</v>
      </c>
    </row>
    <row r="7987" spans="1:2" x14ac:dyDescent="0.3">
      <c r="B7987" t="s">
        <v>167</v>
      </c>
    </row>
    <row r="7988" spans="1:2" x14ac:dyDescent="0.3">
      <c r="B7988" t="s">
        <v>167</v>
      </c>
    </row>
    <row r="7989" spans="1:2" x14ac:dyDescent="0.3">
      <c r="B7989" t="s">
        <v>171</v>
      </c>
    </row>
    <row r="7990" spans="1:2" x14ac:dyDescent="0.3">
      <c r="B7990" t="s">
        <v>192</v>
      </c>
    </row>
    <row r="7991" spans="1:2" x14ac:dyDescent="0.3">
      <c r="B7991" t="s">
        <v>192</v>
      </c>
    </row>
    <row r="7992" spans="1:2" x14ac:dyDescent="0.3">
      <c r="B7992" t="s">
        <v>1</v>
      </c>
    </row>
    <row r="7993" spans="1:2" x14ac:dyDescent="0.3">
      <c r="B7993" t="s">
        <v>175</v>
      </c>
    </row>
    <row r="7994" spans="1:2" x14ac:dyDescent="0.3">
      <c r="B7994" t="s">
        <v>175</v>
      </c>
    </row>
    <row r="7995" spans="1:2" x14ac:dyDescent="0.3">
      <c r="A7995" t="s">
        <v>6091</v>
      </c>
      <c r="B7995" t="s">
        <v>1</v>
      </c>
    </row>
    <row r="7996" spans="1:2" x14ac:dyDescent="0.3">
      <c r="A7996" t="s">
        <v>6092</v>
      </c>
      <c r="B7996" t="s">
        <v>1</v>
      </c>
    </row>
    <row r="7997" spans="1:2" x14ac:dyDescent="0.3">
      <c r="B7997" t="s">
        <v>172</v>
      </c>
    </row>
    <row r="7998" spans="1:2" x14ac:dyDescent="0.3">
      <c r="B7998" t="s">
        <v>172</v>
      </c>
    </row>
    <row r="7999" spans="1:2" x14ac:dyDescent="0.3">
      <c r="B7999" t="s">
        <v>1</v>
      </c>
    </row>
    <row r="8000" spans="1:2" x14ac:dyDescent="0.3">
      <c r="B8000" t="s">
        <v>1</v>
      </c>
    </row>
    <row r="8001" spans="1:2" x14ac:dyDescent="0.3">
      <c r="B8001" t="s">
        <v>1</v>
      </c>
    </row>
    <row r="8002" spans="1:2" x14ac:dyDescent="0.3">
      <c r="B8002" t="s">
        <v>1</v>
      </c>
    </row>
    <row r="8003" spans="1:2" x14ac:dyDescent="0.3">
      <c r="B8003" t="s">
        <v>1</v>
      </c>
    </row>
    <row r="8004" spans="1:2" x14ac:dyDescent="0.3">
      <c r="B8004" t="s">
        <v>1</v>
      </c>
    </row>
    <row r="8005" spans="1:2" x14ac:dyDescent="0.3">
      <c r="B8005" t="s">
        <v>1</v>
      </c>
    </row>
    <row r="8006" spans="1:2" x14ac:dyDescent="0.3">
      <c r="B8006" t="s">
        <v>1</v>
      </c>
    </row>
    <row r="8007" spans="1:2" x14ac:dyDescent="0.3">
      <c r="B8007" t="s">
        <v>1</v>
      </c>
    </row>
    <row r="8008" spans="1:2" x14ac:dyDescent="0.3">
      <c r="B8008" t="s">
        <v>1</v>
      </c>
    </row>
    <row r="8009" spans="1:2" x14ac:dyDescent="0.3">
      <c r="B8009" t="s">
        <v>1</v>
      </c>
    </row>
    <row r="8010" spans="1:2" x14ac:dyDescent="0.3">
      <c r="B8010" t="s">
        <v>1</v>
      </c>
    </row>
    <row r="8011" spans="1:2" x14ac:dyDescent="0.3">
      <c r="B8011" t="s">
        <v>1</v>
      </c>
    </row>
    <row r="8012" spans="1:2" x14ac:dyDescent="0.3">
      <c r="B8012" t="s">
        <v>1</v>
      </c>
    </row>
    <row r="8013" spans="1:2" x14ac:dyDescent="0.3">
      <c r="A8013" t="s">
        <v>6093</v>
      </c>
      <c r="B8013" t="s">
        <v>2328</v>
      </c>
    </row>
    <row r="8014" spans="1:2" x14ac:dyDescent="0.3">
      <c r="A8014" t="s">
        <v>6094</v>
      </c>
      <c r="B8014" t="s">
        <v>1</v>
      </c>
    </row>
    <row r="8015" spans="1:2" x14ac:dyDescent="0.3">
      <c r="A8015" t="s">
        <v>6095</v>
      </c>
      <c r="B8015" t="s">
        <v>1</v>
      </c>
    </row>
    <row r="8016" spans="1:2" x14ac:dyDescent="0.3">
      <c r="B8016" t="s">
        <v>1107</v>
      </c>
    </row>
    <row r="8017" spans="1:2" x14ac:dyDescent="0.3">
      <c r="A8017" t="s">
        <v>6096</v>
      </c>
      <c r="B8017" t="s">
        <v>1</v>
      </c>
    </row>
    <row r="8018" spans="1:2" x14ac:dyDescent="0.3">
      <c r="B8018" t="s">
        <v>1</v>
      </c>
    </row>
    <row r="8019" spans="1:2" x14ac:dyDescent="0.3">
      <c r="B8019" t="s">
        <v>1</v>
      </c>
    </row>
    <row r="8020" spans="1:2" x14ac:dyDescent="0.3">
      <c r="B8020" t="s">
        <v>1</v>
      </c>
    </row>
    <row r="8021" spans="1:2" x14ac:dyDescent="0.3">
      <c r="B8021" t="s">
        <v>1</v>
      </c>
    </row>
    <row r="8022" spans="1:2" x14ac:dyDescent="0.3">
      <c r="A8022" t="s">
        <v>6097</v>
      </c>
      <c r="B8022" t="s">
        <v>1</v>
      </c>
    </row>
    <row r="8023" spans="1:2" x14ac:dyDescent="0.3">
      <c r="B8023" t="s">
        <v>1</v>
      </c>
    </row>
    <row r="8024" spans="1:2" x14ac:dyDescent="0.3">
      <c r="B8024" t="s">
        <v>216</v>
      </c>
    </row>
    <row r="8025" spans="1:2" x14ac:dyDescent="0.3">
      <c r="B8025" t="s">
        <v>216</v>
      </c>
    </row>
    <row r="8026" spans="1:2" x14ac:dyDescent="0.3">
      <c r="B8026" t="s">
        <v>1</v>
      </c>
    </row>
    <row r="8027" spans="1:2" x14ac:dyDescent="0.3">
      <c r="B8027" t="s">
        <v>1</v>
      </c>
    </row>
    <row r="8028" spans="1:2" x14ac:dyDescent="0.3">
      <c r="B8028" t="s">
        <v>1</v>
      </c>
    </row>
    <row r="8029" spans="1:2" x14ac:dyDescent="0.3">
      <c r="B8029" t="s">
        <v>1</v>
      </c>
    </row>
    <row r="8030" spans="1:2" x14ac:dyDescent="0.3">
      <c r="B8030" t="s">
        <v>1</v>
      </c>
    </row>
    <row r="8031" spans="1:2" x14ac:dyDescent="0.3">
      <c r="B8031" t="s">
        <v>1</v>
      </c>
    </row>
    <row r="8032" spans="1:2" x14ac:dyDescent="0.3">
      <c r="B8032" t="s">
        <v>1</v>
      </c>
    </row>
    <row r="8033" spans="1:2" x14ac:dyDescent="0.3">
      <c r="B8033" t="s">
        <v>1</v>
      </c>
    </row>
    <row r="8034" spans="1:2" x14ac:dyDescent="0.3">
      <c r="B8034" t="s">
        <v>1</v>
      </c>
    </row>
    <row r="8035" spans="1:2" x14ac:dyDescent="0.3">
      <c r="B8035" t="s">
        <v>2294</v>
      </c>
    </row>
    <row r="8036" spans="1:2" x14ac:dyDescent="0.3">
      <c r="B8036" t="s">
        <v>2285</v>
      </c>
    </row>
    <row r="8037" spans="1:2" x14ac:dyDescent="0.3">
      <c r="B8037" t="s">
        <v>2292</v>
      </c>
    </row>
    <row r="8038" spans="1:2" x14ac:dyDescent="0.3">
      <c r="B8038" t="s">
        <v>2287</v>
      </c>
    </row>
    <row r="8039" spans="1:2" x14ac:dyDescent="0.3">
      <c r="B8039" t="s">
        <v>2309</v>
      </c>
    </row>
    <row r="8040" spans="1:2" x14ac:dyDescent="0.3">
      <c r="B8040" t="s">
        <v>260</v>
      </c>
    </row>
    <row r="8041" spans="1:2" x14ac:dyDescent="0.3">
      <c r="A8041" t="s">
        <v>6098</v>
      </c>
      <c r="B8041" t="s">
        <v>1694</v>
      </c>
    </row>
    <row r="8042" spans="1:2" x14ac:dyDescent="0.3">
      <c r="B8042" t="s">
        <v>246</v>
      </c>
    </row>
    <row r="8043" spans="1:2" x14ac:dyDescent="0.3">
      <c r="B8043" t="s">
        <v>2294</v>
      </c>
    </row>
    <row r="8044" spans="1:2" x14ac:dyDescent="0.3">
      <c r="B8044" t="s">
        <v>2294</v>
      </c>
    </row>
    <row r="8045" spans="1:2" x14ac:dyDescent="0.3">
      <c r="B8045" t="s">
        <v>2287</v>
      </c>
    </row>
    <row r="8046" spans="1:2" x14ac:dyDescent="0.3">
      <c r="B8046" t="s">
        <v>2287</v>
      </c>
    </row>
    <row r="8047" spans="1:2" x14ac:dyDescent="0.3">
      <c r="B8047" t="s">
        <v>2309</v>
      </c>
    </row>
    <row r="8048" spans="1:2" x14ac:dyDescent="0.3">
      <c r="B8048" t="s">
        <v>2</v>
      </c>
    </row>
    <row r="8049" spans="1:2" x14ac:dyDescent="0.3">
      <c r="B8049" t="s">
        <v>1</v>
      </c>
    </row>
    <row r="8050" spans="1:2" x14ac:dyDescent="0.3">
      <c r="B8050" t="s">
        <v>921</v>
      </c>
    </row>
    <row r="8051" spans="1:2" x14ac:dyDescent="0.3">
      <c r="B8051" t="s">
        <v>181</v>
      </c>
    </row>
    <row r="8052" spans="1:2" x14ac:dyDescent="0.3">
      <c r="B8052" t="s">
        <v>181</v>
      </c>
    </row>
    <row r="8053" spans="1:2" x14ac:dyDescent="0.3">
      <c r="B8053" t="s">
        <v>181</v>
      </c>
    </row>
    <row r="8054" spans="1:2" x14ac:dyDescent="0.3">
      <c r="B8054" t="s">
        <v>181</v>
      </c>
    </row>
    <row r="8055" spans="1:2" x14ac:dyDescent="0.3">
      <c r="A8055" t="s">
        <v>6099</v>
      </c>
      <c r="B8055" t="s">
        <v>1</v>
      </c>
    </row>
    <row r="8056" spans="1:2" x14ac:dyDescent="0.3">
      <c r="B8056" t="s">
        <v>910</v>
      </c>
    </row>
    <row r="8057" spans="1:2" x14ac:dyDescent="0.3">
      <c r="B8057" t="s">
        <v>192</v>
      </c>
    </row>
    <row r="8058" spans="1:2" x14ac:dyDescent="0.3">
      <c r="B8058" t="s">
        <v>172</v>
      </c>
    </row>
    <row r="8059" spans="1:2" x14ac:dyDescent="0.3">
      <c r="B8059" t="s">
        <v>1450</v>
      </c>
    </row>
    <row r="8060" spans="1:2" x14ac:dyDescent="0.3">
      <c r="B8060" t="s">
        <v>181</v>
      </c>
    </row>
    <row r="8061" spans="1:2" x14ac:dyDescent="0.3">
      <c r="B8061" t="s">
        <v>181</v>
      </c>
    </row>
    <row r="8062" spans="1:2" x14ac:dyDescent="0.3">
      <c r="B8062" t="s">
        <v>181</v>
      </c>
    </row>
    <row r="8063" spans="1:2" x14ac:dyDescent="0.3">
      <c r="B8063" t="s">
        <v>181</v>
      </c>
    </row>
    <row r="8064" spans="1:2" x14ac:dyDescent="0.3">
      <c r="B8064" t="s">
        <v>181</v>
      </c>
    </row>
    <row r="8065" spans="2:2" x14ac:dyDescent="0.3">
      <c r="B8065" t="s">
        <v>181</v>
      </c>
    </row>
    <row r="8066" spans="2:2" x14ac:dyDescent="0.3">
      <c r="B8066" t="s">
        <v>181</v>
      </c>
    </row>
    <row r="8067" spans="2:2" x14ac:dyDescent="0.3">
      <c r="B8067" t="s">
        <v>1</v>
      </c>
    </row>
    <row r="8068" spans="2:2" x14ac:dyDescent="0.3">
      <c r="B8068" t="s">
        <v>1</v>
      </c>
    </row>
    <row r="8069" spans="2:2" x14ac:dyDescent="0.3">
      <c r="B8069" t="s">
        <v>1</v>
      </c>
    </row>
    <row r="8070" spans="2:2" x14ac:dyDescent="0.3">
      <c r="B8070" t="s">
        <v>1</v>
      </c>
    </row>
    <row r="8071" spans="2:2" x14ac:dyDescent="0.3">
      <c r="B8071" t="s">
        <v>1</v>
      </c>
    </row>
    <row r="8072" spans="2:2" x14ac:dyDescent="0.3">
      <c r="B8072" t="s">
        <v>1</v>
      </c>
    </row>
    <row r="8073" spans="2:2" x14ac:dyDescent="0.3">
      <c r="B8073" t="s">
        <v>1</v>
      </c>
    </row>
    <row r="8074" spans="2:2" x14ac:dyDescent="0.3">
      <c r="B8074" t="s">
        <v>139</v>
      </c>
    </row>
    <row r="8075" spans="2:2" x14ac:dyDescent="0.3">
      <c r="B8075" t="s">
        <v>139</v>
      </c>
    </row>
    <row r="8076" spans="2:2" x14ac:dyDescent="0.3">
      <c r="B8076" t="s">
        <v>1</v>
      </c>
    </row>
    <row r="8077" spans="2:2" x14ac:dyDescent="0.3">
      <c r="B8077" t="s">
        <v>1</v>
      </c>
    </row>
    <row r="8078" spans="2:2" x14ac:dyDescent="0.3">
      <c r="B8078" t="s">
        <v>1</v>
      </c>
    </row>
    <row r="8079" spans="2:2" x14ac:dyDescent="0.3">
      <c r="B8079" t="s">
        <v>1</v>
      </c>
    </row>
    <row r="8080" spans="2:2" x14ac:dyDescent="0.3">
      <c r="B8080" t="s">
        <v>1</v>
      </c>
    </row>
    <row r="8081" spans="2:2" x14ac:dyDescent="0.3">
      <c r="B8081" t="s">
        <v>1</v>
      </c>
    </row>
    <row r="8082" spans="2:2" x14ac:dyDescent="0.3">
      <c r="B8082" t="s">
        <v>932</v>
      </c>
    </row>
    <row r="8083" spans="2:2" x14ac:dyDescent="0.3">
      <c r="B8083" t="s">
        <v>932</v>
      </c>
    </row>
    <row r="8084" spans="2:2" x14ac:dyDescent="0.3">
      <c r="B8084" t="s">
        <v>932</v>
      </c>
    </row>
    <row r="8085" spans="2:2" x14ac:dyDescent="0.3">
      <c r="B8085" t="s">
        <v>932</v>
      </c>
    </row>
    <row r="8086" spans="2:2" x14ac:dyDescent="0.3">
      <c r="B8086" t="s">
        <v>932</v>
      </c>
    </row>
    <row r="8087" spans="2:2" x14ac:dyDescent="0.3">
      <c r="B8087" t="s">
        <v>932</v>
      </c>
    </row>
    <row r="8088" spans="2:2" x14ac:dyDescent="0.3">
      <c r="B8088" t="s">
        <v>932</v>
      </c>
    </row>
    <row r="8089" spans="2:2" x14ac:dyDescent="0.3">
      <c r="B8089" t="s">
        <v>932</v>
      </c>
    </row>
    <row r="8090" spans="2:2" x14ac:dyDescent="0.3">
      <c r="B8090" t="s">
        <v>1002</v>
      </c>
    </row>
    <row r="8091" spans="2:2" x14ac:dyDescent="0.3">
      <c r="B8091" t="s">
        <v>1002</v>
      </c>
    </row>
    <row r="8092" spans="2:2" x14ac:dyDescent="0.3">
      <c r="B8092" t="s">
        <v>1</v>
      </c>
    </row>
    <row r="8093" spans="2:2" x14ac:dyDescent="0.3">
      <c r="B8093" t="s">
        <v>2437</v>
      </c>
    </row>
    <row r="8094" spans="2:2" x14ac:dyDescent="0.3">
      <c r="B8094" t="s">
        <v>2437</v>
      </c>
    </row>
    <row r="8095" spans="2:2" x14ac:dyDescent="0.3">
      <c r="B8095" t="s">
        <v>2437</v>
      </c>
    </row>
    <row r="8096" spans="2:2" x14ac:dyDescent="0.3">
      <c r="B8096" t="s">
        <v>2437</v>
      </c>
    </row>
    <row r="8097" spans="1:2" x14ac:dyDescent="0.3">
      <c r="B8097" t="s">
        <v>2437</v>
      </c>
    </row>
    <row r="8098" spans="1:2" x14ac:dyDescent="0.3">
      <c r="B8098" t="s">
        <v>177</v>
      </c>
    </row>
    <row r="8099" spans="1:2" x14ac:dyDescent="0.3">
      <c r="A8099" t="s">
        <v>6100</v>
      </c>
      <c r="B8099" t="s">
        <v>171</v>
      </c>
    </row>
    <row r="8100" spans="1:2" x14ac:dyDescent="0.3">
      <c r="A8100" t="s">
        <v>6101</v>
      </c>
      <c r="B8100" t="s">
        <v>1</v>
      </c>
    </row>
    <row r="8101" spans="1:2" x14ac:dyDescent="0.3">
      <c r="B8101" t="s">
        <v>181</v>
      </c>
    </row>
    <row r="8102" spans="1:2" x14ac:dyDescent="0.3">
      <c r="A8102" t="s">
        <v>6102</v>
      </c>
      <c r="B8102" t="s">
        <v>172</v>
      </c>
    </row>
    <row r="8103" spans="1:2" x14ac:dyDescent="0.3">
      <c r="A8103" t="s">
        <v>6103</v>
      </c>
      <c r="B8103" t="s">
        <v>172</v>
      </c>
    </row>
    <row r="8104" spans="1:2" x14ac:dyDescent="0.3">
      <c r="A8104" t="s">
        <v>6104</v>
      </c>
      <c r="B8104" t="s">
        <v>172</v>
      </c>
    </row>
    <row r="8105" spans="1:2" x14ac:dyDescent="0.3">
      <c r="A8105" t="s">
        <v>6105</v>
      </c>
      <c r="B8105" t="s">
        <v>172</v>
      </c>
    </row>
    <row r="8106" spans="1:2" x14ac:dyDescent="0.3">
      <c r="A8106" t="s">
        <v>6106</v>
      </c>
      <c r="B8106" t="s">
        <v>172</v>
      </c>
    </row>
    <row r="8107" spans="1:2" x14ac:dyDescent="0.3">
      <c r="A8107" t="s">
        <v>6107</v>
      </c>
      <c r="B8107" t="s">
        <v>1</v>
      </c>
    </row>
    <row r="8108" spans="1:2" x14ac:dyDescent="0.3">
      <c r="A8108" t="s">
        <v>6108</v>
      </c>
      <c r="B8108" t="s">
        <v>1</v>
      </c>
    </row>
  </sheetData>
  <sortState ref="F2:F16">
    <sortCondition ref="F2"/>
  </sortState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1111111">
    <tabColor theme="0" tint="-0.499984740745262"/>
  </sheetPr>
  <dimension ref="A1:D6"/>
  <sheetViews>
    <sheetView workbookViewId="0"/>
  </sheetViews>
  <sheetFormatPr defaultColWidth="11.44140625" defaultRowHeight="14.4" x14ac:dyDescent="0.3"/>
  <cols>
    <col min="1" max="1" width="22.6640625" bestFit="1" customWidth="1"/>
    <col min="2" max="2" width="22.6640625" customWidth="1"/>
    <col min="3" max="3" width="17.77734375" customWidth="1"/>
    <col min="6" max="6" width="10.6640625" bestFit="1" customWidth="1"/>
    <col min="7" max="7" width="12.77734375" bestFit="1" customWidth="1"/>
    <col min="10" max="10" width="36.109375" bestFit="1" customWidth="1"/>
    <col min="11" max="11" width="11.33203125" bestFit="1" customWidth="1"/>
  </cols>
  <sheetData>
    <row r="1" spans="1:4" x14ac:dyDescent="0.3">
      <c r="A1" t="s">
        <v>46</v>
      </c>
      <c r="B1" t="s">
        <v>87</v>
      </c>
      <c r="C1" t="s">
        <v>55</v>
      </c>
      <c r="D1" t="s">
        <v>86</v>
      </c>
    </row>
    <row r="2" spans="1:4" x14ac:dyDescent="0.3">
      <c r="A2" t="s">
        <v>56</v>
      </c>
      <c r="B2" t="s">
        <v>29</v>
      </c>
      <c r="C2">
        <v>745</v>
      </c>
      <c r="D2">
        <v>42</v>
      </c>
    </row>
    <row r="3" spans="1:4" x14ac:dyDescent="0.3">
      <c r="A3" t="s">
        <v>57</v>
      </c>
      <c r="B3" t="s">
        <v>33</v>
      </c>
      <c r="C3">
        <v>250</v>
      </c>
      <c r="D3">
        <v>41</v>
      </c>
    </row>
    <row r="4" spans="1:4" x14ac:dyDescent="0.3">
      <c r="A4" t="s">
        <v>58</v>
      </c>
      <c r="C4">
        <v>266</v>
      </c>
    </row>
    <row r="5" spans="1:4" x14ac:dyDescent="0.3">
      <c r="A5" t="s">
        <v>59</v>
      </c>
      <c r="C5">
        <v>336</v>
      </c>
    </row>
    <row r="6" spans="1:4" x14ac:dyDescent="0.3">
      <c r="A6" t="s">
        <v>60</v>
      </c>
      <c r="C6">
        <v>655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111111">
    <tabColor theme="0" tint="-0.499984740745262"/>
  </sheetPr>
  <dimension ref="A1:B5"/>
  <sheetViews>
    <sheetView workbookViewId="0">
      <selection activeCell="B11" sqref="B11"/>
    </sheetView>
  </sheetViews>
  <sheetFormatPr defaultColWidth="8.77734375" defaultRowHeight="14.4" x14ac:dyDescent="0.3"/>
  <cols>
    <col min="1" max="1" width="22.77734375" bestFit="1" customWidth="1"/>
    <col min="2" max="2" width="7.77734375" bestFit="1" customWidth="1"/>
  </cols>
  <sheetData>
    <row r="1" spans="1:2" x14ac:dyDescent="0.3">
      <c r="A1" t="s">
        <v>4</v>
      </c>
      <c r="B1" t="s">
        <v>22</v>
      </c>
    </row>
    <row r="2" spans="1:2" x14ac:dyDescent="0.3">
      <c r="A2" t="s">
        <v>29</v>
      </c>
      <c r="B2" t="s">
        <v>30</v>
      </c>
    </row>
    <row r="3" spans="1:2" x14ac:dyDescent="0.3">
      <c r="A3" t="s">
        <v>34</v>
      </c>
      <c r="B3" t="s">
        <v>31</v>
      </c>
    </row>
    <row r="4" spans="1:2" x14ac:dyDescent="0.3">
      <c r="A4" t="s">
        <v>33</v>
      </c>
      <c r="B4" t="s">
        <v>32</v>
      </c>
    </row>
    <row r="5" spans="1:2" x14ac:dyDescent="0.3">
      <c r="A5" t="s">
        <v>36</v>
      </c>
      <c r="B5" t="s">
        <v>35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111111">
    <tabColor theme="0" tint="-0.499984740745262"/>
  </sheetPr>
  <dimension ref="A1:B4"/>
  <sheetViews>
    <sheetView workbookViewId="0"/>
  </sheetViews>
  <sheetFormatPr defaultColWidth="8.77734375" defaultRowHeight="14.4" x14ac:dyDescent="0.3"/>
  <cols>
    <col min="1" max="1" width="10.6640625" bestFit="1" customWidth="1"/>
    <col min="2" max="2" width="12.77734375" bestFit="1" customWidth="1"/>
  </cols>
  <sheetData>
    <row r="1" spans="1:2" x14ac:dyDescent="0.3">
      <c r="A1" t="s">
        <v>61</v>
      </c>
      <c r="B1" t="s">
        <v>65</v>
      </c>
    </row>
    <row r="2" spans="1:2" x14ac:dyDescent="0.3">
      <c r="A2" t="s">
        <v>62</v>
      </c>
      <c r="B2">
        <v>20</v>
      </c>
    </row>
    <row r="3" spans="1:2" x14ac:dyDescent="0.3">
      <c r="A3" t="s">
        <v>63</v>
      </c>
      <c r="B3">
        <v>20</v>
      </c>
    </row>
    <row r="4" spans="1:2" x14ac:dyDescent="0.3">
      <c r="A4" t="s">
        <v>64</v>
      </c>
      <c r="B4">
        <v>34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111"/>
  <dimension ref="A1:D3"/>
  <sheetViews>
    <sheetView workbookViewId="0"/>
  </sheetViews>
  <sheetFormatPr defaultColWidth="8.77734375" defaultRowHeight="14.4" x14ac:dyDescent="0.3"/>
  <cols>
    <col min="2" max="2" width="13.33203125" customWidth="1"/>
    <col min="3" max="3" width="11.109375" customWidth="1"/>
    <col min="4" max="4" width="8.77734375" bestFit="1" customWidth="1"/>
  </cols>
  <sheetData>
    <row r="1" spans="1:4" x14ac:dyDescent="0.3">
      <c r="A1" t="s">
        <v>6</v>
      </c>
      <c r="B1" t="s">
        <v>6170</v>
      </c>
      <c r="C1" t="s">
        <v>4</v>
      </c>
      <c r="D1" t="s">
        <v>283</v>
      </c>
    </row>
    <row r="2" spans="1:4" x14ac:dyDescent="0.3">
      <c r="A2">
        <v>1</v>
      </c>
      <c r="B2" t="s">
        <v>6142</v>
      </c>
      <c r="C2" t="s">
        <v>6171</v>
      </c>
      <c r="D2" t="str">
        <f>IF(Table59[[#This Row],[Type]]="Standard","",CONCATENATE("UNA",Table59[[#This Row],[UNAcodeset]]))</f>
        <v/>
      </c>
    </row>
    <row r="3" spans="1:4" x14ac:dyDescent="0.3">
      <c r="A3">
        <v>2</v>
      </c>
      <c r="B3" t="s">
        <v>6140</v>
      </c>
      <c r="D3" t="str">
        <f>IF(Table59[[#This Row],[Type]]="Standard","",CONCATENATE("UNA",Table59[[#This Row],[UNAcodeset]]))</f>
        <v>UNA:-.? *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111111">
    <tabColor theme="1"/>
  </sheetPr>
  <dimension ref="A1:F6"/>
  <sheetViews>
    <sheetView workbookViewId="0">
      <selection activeCell="N6" sqref="N6"/>
    </sheetView>
  </sheetViews>
  <sheetFormatPr defaultColWidth="8.77734375" defaultRowHeight="14.4" x14ac:dyDescent="0.3"/>
  <cols>
    <col min="1" max="1" width="19.33203125" customWidth="1"/>
    <col min="2" max="2" width="25.109375" style="5" bestFit="1" customWidth="1"/>
    <col min="3" max="4" width="14.6640625" customWidth="1"/>
    <col min="5" max="5" width="9.109375" style="7"/>
    <col min="6" max="6" width="11.109375" bestFit="1" customWidth="1"/>
  </cols>
  <sheetData>
    <row r="1" spans="1:6" x14ac:dyDescent="0.3">
      <c r="A1" t="s">
        <v>265</v>
      </c>
      <c r="B1" s="5" t="s">
        <v>266</v>
      </c>
      <c r="C1" t="s">
        <v>268</v>
      </c>
      <c r="D1" t="s">
        <v>278</v>
      </c>
      <c r="E1" s="7" t="s">
        <v>277</v>
      </c>
      <c r="F1" t="s">
        <v>6109</v>
      </c>
    </row>
    <row r="2" spans="1:6" x14ac:dyDescent="0.3">
      <c r="A2">
        <v>1</v>
      </c>
      <c r="B2" s="5" t="s">
        <v>267</v>
      </c>
      <c r="C2">
        <v>5</v>
      </c>
      <c r="D2">
        <v>72</v>
      </c>
      <c r="E2" s="7">
        <f>-UNBpushes[[#This Row],[pushAdjustment]]/24</f>
        <v>-3</v>
      </c>
      <c r="F2" t="str">
        <f>IF(UNBpushes[[#This Row],[pushAdjustment]]&lt;&gt;0,CONCATENATE("t-",TEXT(UNBpushes[[#This Row],[pushAdjustment]],"00"),"hours"),"Wheels-Up")</f>
        <v>t-72hours</v>
      </c>
    </row>
    <row r="3" spans="1:6" x14ac:dyDescent="0.3">
      <c r="A3">
        <v>2</v>
      </c>
      <c r="B3" s="5" t="s">
        <v>270</v>
      </c>
      <c r="C3">
        <v>4</v>
      </c>
      <c r="D3">
        <v>24</v>
      </c>
      <c r="E3" s="7">
        <f>-UNBpushes[[#This Row],[pushAdjustment]]/24</f>
        <v>-1</v>
      </c>
      <c r="F3" t="str">
        <f>IF(UNBpushes[[#This Row],[pushAdjustment]]&lt;&gt;0,CONCATENATE("t-",TEXT(UNBpushes[[#This Row],[pushAdjustment]],"00"),"hours"),"Wheels-Up")</f>
        <v>t-24hours</v>
      </c>
    </row>
    <row r="4" spans="1:6" x14ac:dyDescent="0.3">
      <c r="A4">
        <v>3</v>
      </c>
      <c r="B4" s="5" t="s">
        <v>271</v>
      </c>
      <c r="C4">
        <v>3</v>
      </c>
      <c r="D4">
        <v>2</v>
      </c>
      <c r="E4" s="7">
        <f>-UNBpushes[[#This Row],[pushAdjustment]]/24</f>
        <v>-8.3333333333333329E-2</v>
      </c>
      <c r="F4" t="str">
        <f>IF(UNBpushes[[#This Row],[pushAdjustment]]&lt;&gt;0,CONCATENATE("t-",TEXT(UNBpushes[[#This Row],[pushAdjustment]],"00"),"hours"),"Wheels-Up")</f>
        <v>t-02hours</v>
      </c>
    </row>
    <row r="5" spans="1:6" x14ac:dyDescent="0.3">
      <c r="A5">
        <v>4</v>
      </c>
      <c r="B5" s="5" t="s">
        <v>272</v>
      </c>
      <c r="C5">
        <v>2</v>
      </c>
      <c r="D5">
        <v>1</v>
      </c>
      <c r="E5" s="7">
        <f>-UNBpushes[[#This Row],[pushAdjustment]]/24</f>
        <v>-4.1666666666666664E-2</v>
      </c>
      <c r="F5" t="str">
        <f>IF(UNBpushes[[#This Row],[pushAdjustment]]&lt;&gt;0,CONCATENATE("t-",TEXT(UNBpushes[[#This Row],[pushAdjustment]],"00"),"hours"),"Wheels-Up")</f>
        <v>t-01hours</v>
      </c>
    </row>
    <row r="6" spans="1:6" x14ac:dyDescent="0.3">
      <c r="A6">
        <v>5</v>
      </c>
      <c r="B6" s="5" t="s">
        <v>269</v>
      </c>
      <c r="C6">
        <v>1</v>
      </c>
      <c r="D6">
        <v>0</v>
      </c>
      <c r="E6" s="7">
        <f>-UNBpushes[[#This Row],[pushAdjustment]]/24</f>
        <v>0</v>
      </c>
      <c r="F6" t="str">
        <f>IF(UNBpushes[[#This Row],[pushAdjustment]]&lt;&gt;0,CONCATENATE("t-",TEXT(UNBpushes[[#This Row],[pushAdjustment]],"00"),"hours"),"Wheels-Up")</f>
        <v>Wheels-Up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AACF8CF4C965489438186E1E364D72" ma:contentTypeVersion="6" ma:contentTypeDescription="Create a new document." ma:contentTypeScope="" ma:versionID="6e099f94a97b74143bc7ac9ee1f1b1ef">
  <xsd:schema xmlns:xsd="http://www.w3.org/2001/XMLSchema" xmlns:xs="http://www.w3.org/2001/XMLSchema" xmlns:p="http://schemas.microsoft.com/office/2006/metadata/properties" xmlns:ns3="2db64aab-cd11-4c6f-a391-6057d2d3eb45" targetNamespace="http://schemas.microsoft.com/office/2006/metadata/properties" ma:root="true" ma:fieldsID="e19957f8f7233c843eb3b8b3fb1c20cc" ns3:_="">
    <xsd:import namespace="2db64aab-cd11-4c6f-a391-6057d2d3eb4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b64aab-cd11-4c6f-a391-6057d2d3eb4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9437B0-819D-4A24-BCDE-585A0E97F08A}">
  <ds:schemaRefs>
    <ds:schemaRef ds:uri="http://purl.org/dc/elements/1.1/"/>
    <ds:schemaRef ds:uri="http://schemas.microsoft.com/office/2006/documentManagement/types"/>
    <ds:schemaRef ds:uri="2db64aab-cd11-4c6f-a391-6057d2d3eb45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F04D8B5-4CEC-4D55-B423-D106589DCD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41FA44-6029-4746-884A-6A2A21EE62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b64aab-cd11-4c6f-a391-6057d2d3eb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ManifestGenerator </vt:lpstr>
      <vt:lpstr>Model Flights</vt:lpstr>
      <vt:lpstr>configSettings</vt:lpstr>
      <vt:lpstr>gmtOffsets</vt:lpstr>
      <vt:lpstr>carrierCodes</vt:lpstr>
      <vt:lpstr>PNR_PassengerData</vt:lpstr>
      <vt:lpstr>ReferenceTable_Airport_Country</vt:lpstr>
      <vt:lpstr>ReferenceTable_APISmessageType</vt:lpstr>
      <vt:lpstr>ReferenceTable_APISpaxType</vt:lpstr>
      <vt:lpstr>ReferenceTable_TSCQ</vt:lpstr>
      <vt:lpstr>UNAcodesets</vt:lpstr>
      <vt:lpstr>unbSegments</vt:lpstr>
    </vt:vector>
  </TitlesOfParts>
  <Manager/>
  <Company>U.S. Customs &amp; Border Protection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Authorized User</dc:creator>
  <cp:keywords/>
  <dc:description/>
  <cp:lastModifiedBy>Authorized User</cp:lastModifiedBy>
  <cp:lastPrinted>2017-06-08T16:41:02Z</cp:lastPrinted>
  <dcterms:created xsi:type="dcterms:W3CDTF">2017-01-24T13:47:05Z</dcterms:created>
  <dcterms:modified xsi:type="dcterms:W3CDTF">2019-08-02T16:13:18Z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0x010100A6AACF8CF4C965489438186E1E364D72</vt:lpwstr>
  </property>
</Properties>
</file>