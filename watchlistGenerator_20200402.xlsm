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12690826-C4DC-F77A-389B-7475C5824B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jertel/Desktop/"/>
    </mc:Choice>
  </mc:AlternateContent>
  <xr:revisionPtr revIDLastSave="0" documentId="8_{6A411367-A6BA-804E-BE96-D67BE04632C2}" xr6:coauthVersionLast="45" xr6:coauthVersionMax="45" xr10:uidLastSave="{00000000-0000-0000-0000-000000000000}"/>
  <bookViews>
    <workbookView xWindow="0" yWindow="0" windowWidth="25600" windowHeight="16000" xr2:uid="{00000000-000D-0000-FFFF-FFFF00000000}"/>
  </bookViews>
  <sheets>
    <sheet name="watchListGenerato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J7" i="1" s="1"/>
  <c r="K7" i="1" s="1"/>
  <c r="E7" i="1"/>
  <c r="F7" i="1" s="1"/>
  <c r="G7" i="1" s="1"/>
  <c r="B7" i="1" l="1"/>
  <c r="C7" i="1" s="1"/>
  <c r="U7" i="1" s="1"/>
</calcChain>
</file>

<file path=xl/sharedStrings.xml><?xml version="1.0" encoding="utf-8"?>
<sst xmlns="http://schemas.openxmlformats.org/spreadsheetml/2006/main" count="23" uniqueCount="23">
  <si>
    <t>entity_id</t>
  </si>
  <si>
    <t>nationalities/0</t>
  </si>
  <si>
    <t>_links/self/href</t>
  </si>
  <si>
    <t>_links/images/href</t>
  </si>
  <si>
    <t>_links/thumbnail/href</t>
  </si>
  <si>
    <t>nationalities/1</t>
  </si>
  <si>
    <t>nationalities/2</t>
  </si>
  <si>
    <t>Category</t>
  </si>
  <si>
    <t>id</t>
  </si>
  <si>
    <t>lastName</t>
  </si>
  <si>
    <t>firstName</t>
  </si>
  <si>
    <t>noLastNameCheck</t>
  </si>
  <si>
    <t>specialCharacterRemovalStep1OnLastName</t>
  </si>
  <si>
    <t>noFirstNameCheck</t>
  </si>
  <si>
    <t>specialCharacterRemovalStep2OnLastName22</t>
  </si>
  <si>
    <t>specialCharacterRemovalStep2OnFirstName2</t>
  </si>
  <si>
    <t>specialCharacterRemovalStep1OnFirstName</t>
  </si>
  <si>
    <t>dateOfBirth</t>
  </si>
  <si>
    <t>dateOfBirthNullCheck</t>
  </si>
  <si>
    <t>dobFormatting</t>
  </si>
  <si>
    <t>jöhnathan</t>
  </si>
  <si>
    <t>smíth</t>
  </si>
  <si>
    <t>"DOB","First Name","Last Name","Category"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</si>
</sst>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8"/>
      <color theme="1"/>
      <name val="Calibri"/>
      <family val="2"/>
      <scheme val="minor"/>
    </font>
    <font>
      <sz val="26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NumberFormat="1"/>
    <xf numFmtId="0" fontId="18" fillId="33" borderId="0" xfId="0" applyFont="1" applyFill="1"/>
    <xf numFmtId="0" fontId="18" fillId="34" borderId="0" xfId="0" applyFont="1" applyFill="1"/>
    <xf numFmtId="0" fontId="18" fillId="35" borderId="0" xfId="0" applyFont="1" applyFill="1"/>
    <xf numFmtId="0" fontId="19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3" fontId="18" fillId="35" borderId="0" xfId="0" applyNumberFormat="1" applyFont="1" applyFill="1" applyAlignment="1">
      <alignment horizontal="center"/>
    </xf>
    <xf numFmtId="164" fontId="0" fillId="0" borderId="0" xfId="0" applyNumberFormat="1"/>
    <xf numFmtId="164" fontId="18" fillId="35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numFmt numFmtId="19" formatCode="m/d/yy"/>
    </dxf>
    <dxf>
      <numFmt numFmtId="19" formatCode="m/d/yy"/>
    </dxf>
    <dxf>
      <numFmt numFmtId="164" formatCode="m/d/yyyy;@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520700</xdr:colOff>
          <xdr:row>2</xdr:row>
          <xdr:rowOff>63500</xdr:rowOff>
        </xdr:from>
        <xdr:to>
          <xdr:col>20</xdr:col>
          <xdr:colOff>2590800</xdr:colOff>
          <xdr:row>3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Watchlist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U7" totalsRowShown="0">
  <autoFilter ref="A6:U7" xr:uid="{00000000-0009-0000-0100-000001000000}"/>
  <tableColumns count="21">
    <tableColumn id="2" xr3:uid="{00000000-0010-0000-0000-000002000000}" name="dateOfBirth" dataDxfId="2"/>
    <tableColumn id="12" xr3:uid="{00000000-0010-0000-0000-00000C000000}" name="dateOfBirthNullCheck" dataDxfId="1">
      <calculatedColumnFormula>IF(ISBLANK(Table1[[#This Row],[dateOfBirth]]),TODAY()-1,Table1[[#This Row],[dateOfBirth]])</calculatedColumnFormula>
    </tableColumn>
    <tableColumn id="13" xr3:uid="{00000000-0010-0000-0000-00000D000000}" name="dobFormatting" dataDxfId="0">
      <calculatedColumnFormula>TEXT(Table1[[#This Row],[dateOfBirthNullCheck]],"yyyy-mm-dd")</calculatedColumnFormula>
    </tableColumn>
    <tableColumn id="1" xr3:uid="{00000000-0010-0000-0000-000001000000}" name="firstName"/>
    <tableColumn id="17" xr3:uid="{00000000-0010-0000-0000-000011000000}" name="specialCharacterRemovalStep1OnFirstName" dataDxfId="12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fir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calculatedColumnFormula>
    </tableColumn>
    <tableColumn id="18" xr3:uid="{00000000-0010-0000-0000-000012000000}" name="specialCharacterRemovalStep2OnFirstName2" dataDxfId="11">
      <calculatedColumnFormula>SUBSTITUTE(SUBSTITUTE(SUBSTITUTE(SUBSTITUTE(SUBSTITUTE(SUBSTITUTE(SUBSTITUTE(SUBSTITUTE(SUBSTITUTE(SUBSTITUTE(SUBSTITUTE(SUBSTITUTE(SUBSTITUTE(Table1[[#This Row],[specialCharacterRemovalStep1OnFirstName]],"æ","ae"),"Ġ","g"),"Č","c"),"ě","e"),"ň","n"),"š","s"),"ě","e"),"ň","n"),"ž","z"),"ř","r"),"č","c"),"ġ","g"),"ö","o")</calculatedColumnFormula>
    </tableColumn>
    <tableColumn id="27" xr3:uid="{00000000-0010-0000-0000-00001B000000}" name="noFirstNameCheck" dataDxfId="10">
      <calculatedColumnFormula>IF(Table1[[#This Row],[specialCharacterRemovalStep2OnFirstName2]]="","NFN",Table1[[#This Row],[specialCharacterRemovalStep2OnFirstName2]])</calculatedColumnFormula>
    </tableColumn>
    <tableColumn id="5" xr3:uid="{00000000-0010-0000-0000-000005000000}" name="lastName" dataDxfId="3"/>
    <tableColumn id="19" xr3:uid="{00000000-0010-0000-0000-000013000000}" name="specialCharacterRemovalStep1OnLastName" dataDxfId="9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la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calculatedColumnFormula>
    </tableColumn>
    <tableColumn id="20" xr3:uid="{00000000-0010-0000-0000-000014000000}" name="specialCharacterRemovalStep2OnLastName22" dataDxfId="8">
      <calculatedColumnFormula>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Row],[specialCharacterRemovalStep1OnLastName]],"æ","ae"),"Ġ","g"),"Č","c"),"ě","e"),"ň","n"),"š","s"),"ě","e"),"ň","n"),"ž","z"),"ř","r"),"č","c"),"ġ","g"),"ö","o"),"."," "),"(",""),")",""),"Ã","A"),"‡","T"),"-"," "),"Ã","a"),"‘",""),"“",""),"@",""),",","")</calculatedColumnFormula>
    </tableColumn>
    <tableColumn id="26" xr3:uid="{00000000-0010-0000-0000-00001A000000}" name="noLastNameCheck" dataDxfId="7">
      <calculatedColumnFormula>IF(Table1[[#This Row],[specialCharacterRemovalStep2OnLastName22]]="","NLN",Table1[[#This Row],[specialCharacterRemovalStep2OnLastName22]])</calculatedColumnFormula>
    </tableColumn>
    <tableColumn id="15" xr3:uid="{00000000-0010-0000-0000-00000F000000}" name="Category" dataDxfId="6"/>
    <tableColumn id="23" xr3:uid="{00000000-0010-0000-0000-000017000000}" name="id" dataDxfId="5"/>
    <tableColumn id="3" xr3:uid="{00000000-0010-0000-0000-000003000000}" name="entity_id"/>
    <tableColumn id="4" xr3:uid="{00000000-0010-0000-0000-000004000000}" name="nationalities/0"/>
    <tableColumn id="6" xr3:uid="{00000000-0010-0000-0000-000006000000}" name="_links/self/href"/>
    <tableColumn id="7" xr3:uid="{00000000-0010-0000-0000-000007000000}" name="_links/images/href"/>
    <tableColumn id="8" xr3:uid="{00000000-0010-0000-0000-000008000000}" name="_links/thumbnail/href"/>
    <tableColumn id="9" xr3:uid="{00000000-0010-0000-0000-000009000000}" name="nationalities/1"/>
    <tableColumn id="10" xr3:uid="{00000000-0010-0000-0000-00000A000000}" name="nationalities/2"/>
    <tableColumn id="11" xr3:uid="{00000000-0010-0000-0000-00000B000000}" name="&quot;DOB&quot;,&quot;First Name&quot;,&quot;Last Name&quot;,&quot;Category&quot;" dataDxfId="4">
      <calculatedColumnFormula>CONCATENATE("""",TEXT(Table1[[#This Row],[dobFormatting]],"yyyy-mm-dd"),"""",",","""",Table1[[#This Row],[noFirstNameCheck]],"""",",","""",Table1[[#This Row],[noLastNameCheck]],"""",",","""",Table1[[#This Row],[Category]],"""")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7"/>
  <sheetViews>
    <sheetView tabSelected="1" zoomScaleNormal="100" workbookViewId="0">
      <selection activeCell="U11" sqref="U11"/>
    </sheetView>
  </sheetViews>
  <sheetFormatPr baseColWidth="10" defaultColWidth="8.83203125" defaultRowHeight="15" x14ac:dyDescent="0.2"/>
  <cols>
    <col min="1" max="1" width="14" style="9" bestFit="1" customWidth="1"/>
    <col min="2" max="2" width="21.83203125" hidden="1" customWidth="1"/>
    <col min="3" max="3" width="16.6640625" hidden="1" customWidth="1"/>
    <col min="4" max="4" width="33" bestFit="1" customWidth="1"/>
    <col min="5" max="5" width="40.83203125" hidden="1" customWidth="1"/>
    <col min="6" max="6" width="41.83203125" hidden="1" customWidth="1"/>
    <col min="7" max="7" width="33" hidden="1" customWidth="1"/>
    <col min="8" max="8" width="33" bestFit="1" customWidth="1"/>
    <col min="9" max="9" width="40.33203125" hidden="1" customWidth="1"/>
    <col min="10" max="10" width="42.33203125" hidden="1" customWidth="1"/>
    <col min="11" max="11" width="33" hidden="1" customWidth="1"/>
    <col min="13" max="14" width="0" hidden="1" customWidth="1"/>
    <col min="15" max="15" width="11.83203125" style="7" hidden="1" customWidth="1"/>
    <col min="16" max="16" width="8.83203125" hidden="1" customWidth="1"/>
    <col min="17" max="17" width="11.83203125" hidden="1" customWidth="1"/>
    <col min="18" max="18" width="16.1640625" hidden="1" customWidth="1"/>
    <col min="19" max="19" width="16.83203125" hidden="1" customWidth="1"/>
    <col min="20" max="20" width="20" hidden="1" customWidth="1"/>
    <col min="21" max="21" width="39.6640625" bestFit="1" customWidth="1"/>
    <col min="22" max="23" width="16.1640625" customWidth="1"/>
    <col min="24" max="24" width="71.33203125" bestFit="1" customWidth="1"/>
    <col min="26" max="26" width="6.1640625" bestFit="1" customWidth="1"/>
    <col min="31" max="31" width="47.6640625" customWidth="1"/>
    <col min="32" max="32" width="41.33203125" bestFit="1" customWidth="1"/>
    <col min="33" max="33" width="52.5" bestFit="1" customWidth="1"/>
    <col min="34" max="34" width="52.5" customWidth="1"/>
  </cols>
  <sheetData>
    <row r="1" spans="1:21" x14ac:dyDescent="0.2">
      <c r="L1" s="7"/>
      <c r="O1"/>
    </row>
    <row r="2" spans="1:21" x14ac:dyDescent="0.2">
      <c r="L2" s="7"/>
      <c r="O2"/>
    </row>
    <row r="3" spans="1:21" x14ac:dyDescent="0.2">
      <c r="L3" s="7"/>
      <c r="O3"/>
    </row>
    <row r="4" spans="1:21" ht="24" x14ac:dyDescent="0.3">
      <c r="L4" s="7"/>
      <c r="O4"/>
      <c r="U4" s="6"/>
    </row>
    <row r="5" spans="1:21" x14ac:dyDescent="0.2">
      <c r="L5" s="7"/>
      <c r="O5"/>
    </row>
    <row r="6" spans="1:21" x14ac:dyDescent="0.2">
      <c r="A6" s="10" t="s">
        <v>17</v>
      </c>
      <c r="B6" t="s">
        <v>18</v>
      </c>
      <c r="C6" s="3" t="s">
        <v>19</v>
      </c>
      <c r="D6" s="5" t="s">
        <v>10</v>
      </c>
      <c r="E6" t="s">
        <v>16</v>
      </c>
      <c r="F6" t="s">
        <v>15</v>
      </c>
      <c r="G6" s="3" t="s">
        <v>13</v>
      </c>
      <c r="H6" s="5" t="s">
        <v>9</v>
      </c>
      <c r="I6" t="s">
        <v>12</v>
      </c>
      <c r="J6" t="s">
        <v>14</v>
      </c>
      <c r="K6" s="3" t="s">
        <v>11</v>
      </c>
      <c r="L6" s="8" t="s">
        <v>7</v>
      </c>
      <c r="M6" t="s">
        <v>8</v>
      </c>
      <c r="N6" t="s">
        <v>0</v>
      </c>
      <c r="O6" t="s">
        <v>1</v>
      </c>
      <c r="P6" t="s">
        <v>2</v>
      </c>
      <c r="Q6" t="s">
        <v>3</v>
      </c>
      <c r="R6" t="s">
        <v>4</v>
      </c>
      <c r="S6" t="s">
        <v>5</v>
      </c>
      <c r="T6" t="s">
        <v>6</v>
      </c>
      <c r="U6" s="4" t="s">
        <v>22</v>
      </c>
    </row>
    <row r="7" spans="1:21" x14ac:dyDescent="0.2">
      <c r="A7" s="9">
        <v>19393</v>
      </c>
      <c r="B7" s="1">
        <f ca="1">IF(ISBLANK(Table1[[#This Row],[dateOfBirth]]),TODAY()-1,Table1[[#This Row],[dateOfBirth]])</f>
        <v>19393</v>
      </c>
      <c r="C7" s="1" t="str">
        <f ca="1">TEXT(Table1[[#This Row],[dateOfBirthNullCheck]],"yyyy-mm-dd")</f>
        <v>1953-02-03</v>
      </c>
      <c r="D7" t="s">
        <v>20</v>
      </c>
      <c r="E7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fir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johnathan</v>
      </c>
      <c r="F7" t="str">
        <f>SUBSTITUTE(SUBSTITUTE(SUBSTITUTE(SUBSTITUTE(SUBSTITUTE(SUBSTITUTE(SUBSTITUTE(SUBSTITUTE(SUBSTITUTE(SUBSTITUTE(SUBSTITUTE(SUBSTITUTE(SUBSTITUTE(Table1[[#This Row],[specialCharacterRemovalStep1OnFirstName]],"æ","ae"),"Ġ","g"),"Č","c"),"ě","e"),"ň","n"),"š","s"),"ě","e"),"ň","n"),"ž","z"),"ř","r"),"č","c"),"ġ","g"),"ö","o")</f>
        <v>johnathan</v>
      </c>
      <c r="G7" t="str">
        <f>IF(Table1[[#This Row],[specialCharacterRemovalStep2OnFirstName2]]="","NFN",Table1[[#This Row],[specialCharacterRemovalStep2OnFirstName2]])</f>
        <v>johnathan</v>
      </c>
      <c r="H7" t="s">
        <v>21</v>
      </c>
      <c r="I7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lastName]],"á","a"),"é","e"),"í","i"),"ó","o"),"ú","u"),"ã","a"),"ê","e"),"â","a"),"é","e"),"è","e"),"î","i"),"ï","i"),"ç","c"),"ä","a"),"ö","o"),"ü","u"),"ß","ss"),"ş","s"),"ı","i"),"ğ","g"),"ę","e"),"ł","l"),"ń","n"),"ś","s"),"ż","z"),"ã","a"),"ầ","a"),"à","a"),"ậ","a"),"đ","d"),"ế","e"),"ì","i"),"í","i"),"ổ","o"),"ô","o"),"ư","u"),"ả","a"),"ế","e"),"ĩ","i"),"ợ","o"),"ồ","o"),"ạ","a"),"ứ","u"),"ý","y"),"ạ","a"),"é","e"),"ỳ","y"),"ế","e"),"ể","e"),"ệ","e"),"ù","u"),"ë","e"),"Ġ","g"),"ø","o"),"ñ","n"),"ō","o"),"ħ","h"),"å","a")</f>
        <v>smith</v>
      </c>
      <c r="J7" s="2" t="str">
        <f>SUBSTITUTE(SUBSTITUTE(SUBSTITUTE(SUBSTITUTE(SUBSTITUTE(SUBSTITUTE(SUBSTITUTE(SUBSTITUTE(SUBSTITUTE(SUBSTITUTE(SUBSTITUTE(SUBSTITUTE(SUBSTITUTE(SUBSTITUTE(SUBSTITUTE(SUBSTITUTE(SUBSTITUTE(SUBSTITUTE(SUBSTITUTE(SUBSTITUTE(SUBSTITUTE(SUBSTITUTE(SUBSTITUTE(SUBSTITUTE(Table1[[#This Row],[specialCharacterRemovalStep1OnLastName]],"æ","ae"),"Ġ","g"),"Č","c"),"ě","e"),"ň","n"),"š","s"),"ě","e"),"ň","n"),"ž","z"),"ř","r"),"č","c"),"ġ","g"),"ö","o"),"."," "),"(",""),")",""),"Ã","A"),"‡","T"),"-"," "),"Ã","a"),"‘",""),"“",""),"@",""),",","")</f>
        <v>smith</v>
      </c>
      <c r="K7" s="2" t="str">
        <f>IF(Table1[[#This Row],[specialCharacterRemovalStep2OnLastName22]]="","NLN",Table1[[#This Row],[specialCharacterRemovalStep2OnLastName22]])</f>
        <v>smith</v>
      </c>
      <c r="L7" s="7">
        <v>5</v>
      </c>
      <c r="M7" s="2"/>
      <c r="O7"/>
      <c r="U7" t="str">
        <f ca="1">CONCATENATE("""",TEXT(Table1[[#This Row],[dobFormatting]],"yyyy-mm-dd"),"""",",","""",Table1[[#This Row],[noFirstNameCheck]],"""",",","""",Table1[[#This Row],[noLastNameCheck]],"""",",","""",Table1[[#This Row],[Category]],"""")</f>
        <v>"1953-02-03","johnathan","smith","5"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createInterpolWatchlist">
                <anchor moveWithCells="1" sizeWithCells="1">
                  <from>
                    <xdr:col>20</xdr:col>
                    <xdr:colOff>520700</xdr:colOff>
                    <xdr:row>2</xdr:row>
                    <xdr:rowOff>63500</xdr:rowOff>
                  </from>
                  <to>
                    <xdr:col>20</xdr:col>
                    <xdr:colOff>2590800</xdr:colOff>
                    <xdr:row>3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watchListGenerator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ERTEL, DAVID J (CTR)</dc:creator>
  <cp:lastModifiedBy>David Ertel</cp:lastModifiedBy>
  <dcterms:created xsi:type="dcterms:W3CDTF">2019-05-09T03:08:28Z</dcterms:created>
  <dcterms:modified xsi:type="dcterms:W3CDTF">2020-04-02T18:42:32Z</dcterms:modified>
</cp:coreProperties>
</file>